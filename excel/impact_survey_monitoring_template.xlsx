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QC_Rules" sheetId="4" state="visible" r:id="rId4"/>
    <sheet xmlns:r="http://schemas.openxmlformats.org/officeDocument/2006/relationships" name="Entry_Demo" sheetId="5" state="visible" r:id="rId5"/>
    <sheet xmlns:r="http://schemas.openxmlformats.org/officeDocument/2006/relationships" name="MonitoringSummary" sheetId="6" state="visible" r:id="rId6"/>
  </sheets>
  <definedNames>
    <definedName name="RawDataPath">Config!$B$3</definedName>
    <definedName name="ExpectedRowCount">Config!$B$4</definedName>
    <definedName name="SurveyStart">Config!$B$5</definedName>
    <definedName name="SurveyEnd">Config!$B$6</definedName>
    <definedName name="ReferenceDate">Config!$B$7</definedName>
    <definedName name="HouseholdMin">Config!$B$8</definedName>
    <definedName name="HouseholdMax">Config!$B$9</definedName>
    <definedName name="ScoreMin">Config!$B$10</definedName>
    <definedName name="ScoreMax">Config!$B$11</definedName>
    <definedName name="CompletionMin">Config!$B$12</definedName>
    <definedName name="CompletionMax">Config!$B$13</definedName>
    <definedName name="ValidRegions">Lookups!$A$3:$A$6</definedName>
    <definedName name="ValidSites">Lookups!$C$3:$C$14</definedName>
    <definedName name="ValidRounds">Lookups!$E$3:$E$4</definedName>
    <definedName name="ValidYesNo">Lookups!$F$3:$F$4</definedName>
    <definedName name="ValidAgeGroups">Lookups!$G$3:$G$7</definedName>
    <definedName name="ValidGenders">Lookups!$H$3:$H$6</definedName>
    <definedName name="ValidTopics">Lookups!$I$3:$I$6</definedName>
    <definedName name="ValidChannels">Lookups!$J$3:$J$6</definedName>
    <definedName name="ValidEnumerators">Lookups!$K$3:$K$10</definedName>
    <definedName name="SiteList">Lookups!$C$3:$C$14</definedName>
    <definedName name="SiteRegionList">Lookups!$D$3:$D$14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7F6000"/>
    </font>
    <font>
      <b val="1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2" customWidth="1" min="2" max="2"/>
  </cols>
  <sheetData>
    <row r="1" ht="28" customHeight="1">
      <c r="A1" s="1" t="inlineStr">
        <is>
          <t>SYNTHETIC DATA - NOT REAL PEOPLE OR PROGRAMME OPERATIONS</t>
        </is>
      </c>
    </row>
    <row r="3" ht="42" customHeight="1">
      <c r="A3" s="2" t="inlineStr">
        <is>
          <t>What this is</t>
        </is>
      </c>
      <c r="B3" s="3" t="inlineStr">
        <is>
          <t>A reproducible monitoring workbook for the synthetic impact survey. Every value is fictional.</t>
        </is>
      </c>
    </row>
    <row r="4" ht="42" customHeight="1">
      <c r="A4" s="2" t="inlineStr">
        <is>
          <t>Self-contained demo</t>
        </is>
      </c>
      <c r="B4" s="3" t="inlineStr">
        <is>
          <t>The Entry_Demo sheet already works: it carries a labelled sample and live QC formulas, data validation, and conditional formatting. Nothing needs wiring to inspect it.</t>
        </is>
      </c>
    </row>
    <row r="5" ht="42" customHeight="1">
      <c r="A5" s="2" t="inlineStr">
        <is>
          <t>Full dataset</t>
        </is>
      </c>
      <c r="B5" s="3" t="inlineStr">
        <is>
          <t>To load all 420 rows, follow the numbered steps in excel/README.md: set the RawDataPath cell on Config, paste power_query/SurveyRaw.m into a Blank Query, then build the pivots.</t>
        </is>
      </c>
    </row>
    <row r="6" ht="42" customHeight="1">
      <c r="A6" s="2" t="inlineStr">
        <is>
          <t>Automation</t>
        </is>
      </c>
      <c r="B6" s="3" t="inlineStr">
        <is>
          <t>vba/RefreshAndExportQC.bas refreshes everything and writes a timestamped QC export into excel/exports/.</t>
        </is>
      </c>
    </row>
    <row r="7" ht="42" customHeight="1">
      <c r="A7" s="2" t="inlineStr">
        <is>
          <t>Parity</t>
        </is>
      </c>
      <c r="B7" s="3" t="inlineStr">
        <is>
          <t>The seven QC flags reproduce the R pipeline rules. See the QC_Rules sheet for the mapping.</t>
        </is>
      </c>
    </row>
    <row r="8" ht="42" customHeight="1">
      <c r="A8" s="2" t="inlineStr">
        <is>
          <t>Verification</t>
        </is>
      </c>
      <c r="B8" s="3" t="inlineStr">
        <is>
          <t>Build and application-test results are recorded in docs/verification/excel_test_log.md.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60" customWidth="1" min="3" max="3"/>
  </cols>
  <sheetData>
    <row r="1" ht="28" customHeight="1">
      <c r="A1" s="1" t="inlineStr">
        <is>
          <t>SYNTHETIC DATA - NOT REAL PEOPLE OR PROGRAMME OPERATIONS</t>
        </is>
      </c>
    </row>
    <row r="2">
      <c r="A2" s="4" t="inlineStr">
        <is>
          <t>Parameter</t>
        </is>
      </c>
      <c r="B2" s="4" t="inlineStr">
        <is>
          <t>Value</t>
        </is>
      </c>
      <c r="C2" s="4" t="inlineStr">
        <is>
          <t>Notes</t>
        </is>
      </c>
    </row>
    <row r="3">
      <c r="A3" t="inlineStr">
        <is>
          <t>Raw data path</t>
        </is>
      </c>
      <c r="B3" t="inlineStr">
        <is>
          <t>data/raw/survey_responses_synthetic.csv</t>
        </is>
      </c>
      <c r="C3" s="5" t="inlineStr">
        <is>
          <t>Set to an absolute path before loading the query.</t>
        </is>
      </c>
    </row>
    <row r="4">
      <c r="A4" t="inlineStr">
        <is>
          <t>Expected row count</t>
        </is>
      </c>
      <c r="B4" t="n">
        <v>420</v>
      </c>
      <c r="C4" s="5" t="inlineStr">
        <is>
          <t>Power Query and pivots should report this many rows.</t>
        </is>
      </c>
    </row>
    <row r="5">
      <c r="A5" t="inlineStr">
        <is>
          <t>Survey start</t>
        </is>
      </c>
      <c r="B5" s="6" t="n">
        <v>45748</v>
      </c>
      <c r="C5" s="5" t="inlineStr">
        <is>
          <t>Earliest valid interview date.</t>
        </is>
      </c>
    </row>
    <row r="6">
      <c r="A6" t="inlineStr">
        <is>
          <t>Survey end</t>
        </is>
      </c>
      <c r="B6" s="6" t="n">
        <v>45930</v>
      </c>
      <c r="C6" s="5" t="inlineStr">
        <is>
          <t>Latest valid interview date.</t>
        </is>
      </c>
    </row>
    <row r="7">
      <c r="A7" t="inlineStr">
        <is>
          <t>Reference date</t>
        </is>
      </c>
      <c r="B7" s="6" t="n">
        <v>45931</v>
      </c>
      <c r="C7" s="5" t="inlineStr">
        <is>
          <t>Fixed analysis reference.</t>
        </is>
      </c>
    </row>
    <row r="8">
      <c r="A8" t="inlineStr">
        <is>
          <t>Household minimum</t>
        </is>
      </c>
      <c r="B8" t="n">
        <v>1</v>
      </c>
      <c r="C8" s="5" t="inlineStr">
        <is>
          <t>Valid household size lower bound.</t>
        </is>
      </c>
    </row>
    <row r="9">
      <c r="A9" t="inlineStr">
        <is>
          <t>Household maximum</t>
        </is>
      </c>
      <c r="B9" t="n">
        <v>20</v>
      </c>
      <c r="C9" s="5" t="inlineStr">
        <is>
          <t>Valid household size upper bound.</t>
        </is>
      </c>
    </row>
    <row r="10">
      <c r="A10" t="inlineStr">
        <is>
          <t>Score minimum</t>
        </is>
      </c>
      <c r="B10" t="n">
        <v>1</v>
      </c>
      <c r="C10" s="5" t="inlineStr">
        <is>
          <t>Valid 1-5 scale lower bound.</t>
        </is>
      </c>
    </row>
    <row r="11">
      <c r="A11" t="inlineStr">
        <is>
          <t>Score maximum</t>
        </is>
      </c>
      <c r="B11" t="n">
        <v>5</v>
      </c>
      <c r="C11" s="5" t="inlineStr">
        <is>
          <t>Valid 1-5 scale upper bound.</t>
        </is>
      </c>
    </row>
    <row r="12">
      <c r="A12" t="inlineStr">
        <is>
          <t>Completion minutes minimum</t>
        </is>
      </c>
      <c r="B12" t="n">
        <v>3</v>
      </c>
      <c r="C12" s="5" t="inlineStr">
        <is>
          <t>Valid interview duration floor.</t>
        </is>
      </c>
    </row>
    <row r="13">
      <c r="A13" t="inlineStr">
        <is>
          <t>Completion minutes maximum</t>
        </is>
      </c>
      <c r="B13" t="n">
        <v>60</v>
      </c>
      <c r="C13" s="5" t="inlineStr">
        <is>
          <t>Valid interview duration ceiling.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9" customWidth="1" min="10" max="10"/>
    <col width="12" customWidth="1" min="11" max="11"/>
  </cols>
  <sheetData>
    <row r="1" ht="28" customHeight="1">
      <c r="A1" s="1" t="inlineStr">
        <is>
          <t>SYNTHETIC DATA - NOT REAL PEOPLE OR PROGRAMME OPERATIONS  |  code lists generated from project_config</t>
        </is>
      </c>
    </row>
    <row r="2">
      <c r="A2" s="7" t="inlineStr">
        <is>
          <t>Region</t>
        </is>
      </c>
      <c r="B2" s="7" t="inlineStr">
        <is>
          <t>Region label</t>
        </is>
      </c>
      <c r="C2" s="7" t="inlineStr">
        <is>
          <t>Site</t>
        </is>
      </c>
      <c r="D2" s="7" t="inlineStr">
        <is>
          <t>Site region</t>
        </is>
      </c>
      <c r="E2" s="7" t="inlineStr">
        <is>
          <t>Round</t>
        </is>
      </c>
      <c r="F2" s="7" t="inlineStr">
        <is>
          <t>Yes/No</t>
        </is>
      </c>
      <c r="G2" s="7" t="inlineStr">
        <is>
          <t>Age group</t>
        </is>
      </c>
      <c r="H2" s="7" t="inlineStr">
        <is>
          <t>Gender</t>
        </is>
      </c>
      <c r="I2" s="7" t="inlineStr">
        <is>
          <t>Training topic</t>
        </is>
      </c>
      <c r="J2" s="7" t="inlineStr">
        <is>
          <t>Preferred channel</t>
        </is>
      </c>
      <c r="K2" s="7" t="inlineStr">
        <is>
          <t>Enumerator</t>
        </is>
      </c>
    </row>
    <row r="3">
      <c r="A3" t="inlineStr">
        <is>
          <t>NORTH</t>
        </is>
      </c>
      <c r="B3" t="inlineStr">
        <is>
          <t>North Region (fictional)</t>
        </is>
      </c>
      <c r="C3" t="inlineStr">
        <is>
          <t>N01</t>
        </is>
      </c>
      <c r="D3" t="inlineStr">
        <is>
          <t>NORTH</t>
        </is>
      </c>
      <c r="E3" t="inlineStr">
        <is>
          <t>ROUND_1</t>
        </is>
      </c>
      <c r="F3" t="inlineStr">
        <is>
          <t>yes</t>
        </is>
      </c>
      <c r="G3" t="inlineStr">
        <is>
          <t>18_24</t>
        </is>
      </c>
      <c r="H3" t="inlineStr">
        <is>
          <t>woman</t>
        </is>
      </c>
      <c r="I3" t="inlineStr">
        <is>
          <t>planning</t>
        </is>
      </c>
      <c r="J3" t="inlineStr">
        <is>
          <t>community_meeting</t>
        </is>
      </c>
      <c r="K3" t="inlineStr">
        <is>
          <t>ENUM_01</t>
        </is>
      </c>
    </row>
    <row r="4">
      <c r="A4" t="inlineStr">
        <is>
          <t>SOUTH</t>
        </is>
      </c>
      <c r="B4" t="inlineStr">
        <is>
          <t>South Region (fictional)</t>
        </is>
      </c>
      <c r="C4" t="inlineStr">
        <is>
          <t>N02</t>
        </is>
      </c>
      <c r="D4" t="inlineStr">
        <is>
          <t>NORTH</t>
        </is>
      </c>
      <c r="E4" t="inlineStr">
        <is>
          <t>ROUND_2</t>
        </is>
      </c>
      <c r="F4" t="inlineStr">
        <is>
          <t>no</t>
        </is>
      </c>
      <c r="G4" t="inlineStr">
        <is>
          <t>25_34</t>
        </is>
      </c>
      <c r="H4" t="inlineStr">
        <is>
          <t>man</t>
        </is>
      </c>
      <c r="I4" t="inlineStr">
        <is>
          <t>financial_skills</t>
        </is>
      </c>
      <c r="J4" t="inlineStr">
        <is>
          <t>printed_material</t>
        </is>
      </c>
      <c r="K4" t="inlineStr">
        <is>
          <t>ENUM_02</t>
        </is>
      </c>
    </row>
    <row r="5">
      <c r="A5" t="inlineStr">
        <is>
          <t>EAST</t>
        </is>
      </c>
      <c r="B5" t="inlineStr">
        <is>
          <t>East Region (fictional)</t>
        </is>
      </c>
      <c r="C5" t="inlineStr">
        <is>
          <t>N03</t>
        </is>
      </c>
      <c r="D5" t="inlineStr">
        <is>
          <t>NORTH</t>
        </is>
      </c>
      <c r="G5" t="inlineStr">
        <is>
          <t>35_44</t>
        </is>
      </c>
      <c r="H5" t="inlineStr">
        <is>
          <t>non_binary</t>
        </is>
      </c>
      <c r="I5" t="inlineStr">
        <is>
          <t>digital_skills</t>
        </is>
      </c>
      <c r="J5" t="inlineStr">
        <is>
          <t>radio</t>
        </is>
      </c>
      <c r="K5" t="inlineStr">
        <is>
          <t>ENUM_03</t>
        </is>
      </c>
    </row>
    <row r="6">
      <c r="A6" t="inlineStr">
        <is>
          <t>WEST</t>
        </is>
      </c>
      <c r="B6" t="inlineStr">
        <is>
          <t>West Region (fictional)</t>
        </is>
      </c>
      <c r="C6" t="inlineStr">
        <is>
          <t>S01</t>
        </is>
      </c>
      <c r="D6" t="inlineStr">
        <is>
          <t>SOUTH</t>
        </is>
      </c>
      <c r="G6" t="inlineStr">
        <is>
          <t>45_54</t>
        </is>
      </c>
      <c r="H6" t="inlineStr">
        <is>
          <t>prefer_not</t>
        </is>
      </c>
      <c r="I6" t="inlineStr">
        <is>
          <t>leadership</t>
        </is>
      </c>
      <c r="J6" t="inlineStr">
        <is>
          <t>none</t>
        </is>
      </c>
      <c r="K6" t="inlineStr">
        <is>
          <t>ENUM_04</t>
        </is>
      </c>
    </row>
    <row r="7">
      <c r="C7" t="inlineStr">
        <is>
          <t>S02</t>
        </is>
      </c>
      <c r="D7" t="inlineStr">
        <is>
          <t>SOUTH</t>
        </is>
      </c>
      <c r="G7" t="inlineStr">
        <is>
          <t>55_plus</t>
        </is>
      </c>
      <c r="K7" t="inlineStr">
        <is>
          <t>ENUM_05</t>
        </is>
      </c>
    </row>
    <row r="8">
      <c r="C8" t="inlineStr">
        <is>
          <t>S03</t>
        </is>
      </c>
      <c r="D8" t="inlineStr">
        <is>
          <t>SOUTH</t>
        </is>
      </c>
      <c r="K8" t="inlineStr">
        <is>
          <t>ENUM_06</t>
        </is>
      </c>
    </row>
    <row r="9">
      <c r="C9" t="inlineStr">
        <is>
          <t>E01</t>
        </is>
      </c>
      <c r="D9" t="inlineStr">
        <is>
          <t>EAST</t>
        </is>
      </c>
      <c r="K9" t="inlineStr">
        <is>
          <t>ENUM_07</t>
        </is>
      </c>
    </row>
    <row r="10">
      <c r="C10" t="inlineStr">
        <is>
          <t>E02</t>
        </is>
      </c>
      <c r="D10" t="inlineStr">
        <is>
          <t>EAST</t>
        </is>
      </c>
      <c r="K10" t="inlineStr">
        <is>
          <t>ENUM_08</t>
        </is>
      </c>
    </row>
    <row r="11">
      <c r="C11" t="inlineStr">
        <is>
          <t>E03</t>
        </is>
      </c>
      <c r="D11" t="inlineStr">
        <is>
          <t>EAST</t>
        </is>
      </c>
    </row>
    <row r="12">
      <c r="C12" t="inlineStr">
        <is>
          <t>W01</t>
        </is>
      </c>
      <c r="D12" t="inlineStr">
        <is>
          <t>WEST</t>
        </is>
      </c>
    </row>
    <row r="13">
      <c r="C13" t="inlineStr">
        <is>
          <t>W02</t>
        </is>
      </c>
      <c r="D13" t="inlineStr">
        <is>
          <t>WEST</t>
        </is>
      </c>
    </row>
    <row r="14">
      <c r="C14" t="inlineStr">
        <is>
          <t>W03</t>
        </is>
      </c>
      <c r="D14" t="inlineStr">
        <is>
          <t>WEST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62" customWidth="1" min="3" max="3"/>
    <col width="15" customWidth="1" min="4" max="4"/>
  </cols>
  <sheetData>
    <row r="1" ht="28" customHeight="1">
      <c r="A1" s="1" t="inlineStr">
        <is>
          <t>SYNTHETIC DATA - NOT REAL PEOPLE OR PROGRAMME OPERATIONS  |  Excel formulas mirror these R pipeline rules</t>
        </is>
      </c>
    </row>
    <row r="2">
      <c r="A2" s="4" t="inlineStr">
        <is>
          <t>QC column</t>
        </is>
      </c>
      <c r="B2" s="4" t="inlineStr">
        <is>
          <t>Fields</t>
        </is>
      </c>
      <c r="C2" s="4" t="inlineStr">
        <is>
          <t>Rule</t>
        </is>
      </c>
      <c r="D2" s="4" t="inlineStr">
        <is>
          <t>Consent-gated</t>
        </is>
      </c>
    </row>
    <row r="3">
      <c r="A3" s="8" t="inlineStr">
        <is>
          <t>qc_missing_required</t>
        </is>
      </c>
      <c r="B3" t="inlineStr">
        <is>
          <t>all required fields</t>
        </is>
      </c>
      <c r="C3" s="5" t="inlineStr">
        <is>
          <t>A required field is blank given the skip conditions.</t>
        </is>
      </c>
      <c r="D3" t="inlineStr">
        <is>
          <t>Yes</t>
        </is>
      </c>
    </row>
    <row r="4">
      <c r="A4" s="8" t="inlineStr">
        <is>
          <t>qc_duplicate_response_id</t>
        </is>
      </c>
      <c r="B4" t="inlineStr">
        <is>
          <t>response_id</t>
        </is>
      </c>
      <c r="C4" s="5" t="inlineStr">
        <is>
          <t>response_id appears on more than one record.</t>
        </is>
      </c>
      <c r="D4" t="inlineStr">
        <is>
          <t>No</t>
        </is>
      </c>
    </row>
    <row r="5">
      <c r="A5" s="8" t="inlineStr">
        <is>
          <t>qc_invalid_code</t>
        </is>
      </c>
      <c r="B5" t="inlineStr">
        <is>
          <t>coded fields</t>
        </is>
      </c>
      <c r="C5" s="5" t="inlineStr">
        <is>
          <t>A non-blank code is not in its allowed list.</t>
        </is>
      </c>
      <c r="D5" t="inlineStr">
        <is>
          <t>No</t>
        </is>
      </c>
    </row>
    <row r="6">
      <c r="A6" s="8" t="inlineStr">
        <is>
          <t>qc_date_consistency</t>
        </is>
      </c>
      <c r="B6" t="inlineStr">
        <is>
          <t>interview / start / training dates</t>
        </is>
      </c>
      <c r="C6" s="5" t="inlineStr">
        <is>
          <t>Interview outside the survey window, start after interview, or training outside the start-to-interview span.</t>
        </is>
      </c>
      <c r="D6" t="inlineStr">
        <is>
          <t>Yes</t>
        </is>
      </c>
    </row>
    <row r="7">
      <c r="A7" s="8" t="inlineStr">
        <is>
          <t>qc_out_of_range</t>
        </is>
      </c>
      <c r="B7" t="inlineStr">
        <is>
          <t>household, 1-5 scales, completion minutes</t>
        </is>
      </c>
      <c r="C7" s="5" t="inlineStr">
        <is>
          <t>A numeric value falls outside its documented bounds.</t>
        </is>
      </c>
      <c r="D7" t="inlineStr">
        <is>
          <t>Yes</t>
        </is>
      </c>
    </row>
    <row r="8">
      <c r="A8" s="8" t="inlineStr">
        <is>
          <t>qc_region_site_consistency</t>
        </is>
      </c>
      <c r="B8" t="inlineStr">
        <is>
          <t>region_code, site_code</t>
        </is>
      </c>
      <c r="C8" s="5" t="inlineStr">
        <is>
          <t>The site does not belong to the selected region.</t>
        </is>
      </c>
      <c r="D8" t="inlineStr">
        <is>
          <t>Yes</t>
        </is>
      </c>
    </row>
    <row r="9">
      <c r="A9" s="8" t="inlineStr">
        <is>
          <t>qc_skip_logic</t>
        </is>
      </c>
      <c r="B9" t="inlineStr">
        <is>
          <t>training / follow-up fields</t>
        </is>
      </c>
      <c r="C9" s="5" t="inlineStr">
        <is>
          <t>Fields are populated that the skip logic should leave blank.</t>
        </is>
      </c>
      <c r="D9" t="inlineStr">
        <is>
          <t>Yes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16" customWidth="1" min="4" max="4"/>
    <col width="14" customWidth="1" min="5" max="5"/>
    <col width="16" customWidth="1" min="6" max="6"/>
    <col width="20" customWidth="1" min="7" max="7"/>
    <col width="13" customWidth="1" min="8" max="8"/>
    <col width="12" customWidth="1" min="9" max="9"/>
    <col width="17" customWidth="1" min="10" max="10"/>
    <col width="12" customWidth="1" min="11" max="11"/>
    <col width="12" customWidth="1" min="12" max="12"/>
    <col width="12" customWidth="1" min="13" max="13"/>
    <col width="16" customWidth="1" min="14" max="14"/>
    <col width="19" customWidth="1" min="15" max="15"/>
    <col width="22" customWidth="1" min="16" max="16"/>
    <col width="15" customWidth="1" min="17" max="17"/>
    <col width="18" customWidth="1" min="18" max="18"/>
    <col width="20" customWidth="1" min="19" max="19"/>
    <col width="18" customWidth="1" min="20" max="20"/>
    <col width="17" customWidth="1" min="21" max="21"/>
    <col width="12" customWidth="1" min="22" max="22"/>
    <col width="16" customWidth="1" min="23" max="23"/>
    <col width="21" customWidth="1" min="24" max="24"/>
    <col width="19" customWidth="1" min="25" max="25"/>
    <col width="14" customWidth="1" min="26" max="26"/>
    <col width="20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</cols>
  <sheetData>
    <row r="1" ht="28" customHeight="1">
      <c r="A1" s="1" t="inlineStr">
        <is>
          <t>SYNTHETIC DATA - NOT REAL PEOPLE OR PROGRAMME OPERATIONS  |  sample rows 3-13 are known issues; rows below are yours to try</t>
        </is>
      </c>
    </row>
    <row r="2">
      <c r="A2" s="4" t="inlineStr">
        <is>
          <t>submission_id</t>
        </is>
      </c>
      <c r="B2" s="4" t="inlineStr">
        <is>
          <t>response_id</t>
        </is>
      </c>
      <c r="C2" s="4" t="inlineStr">
        <is>
          <t>synthetic_data</t>
        </is>
      </c>
      <c r="D2" s="4" t="inlineStr">
        <is>
          <t>survey_version</t>
        </is>
      </c>
      <c r="E2" s="4" t="inlineStr">
        <is>
          <t>survey_round</t>
        </is>
      </c>
      <c r="F2" s="4" t="inlineStr">
        <is>
          <t>interview_date</t>
        </is>
      </c>
      <c r="G2" s="4" t="inlineStr">
        <is>
          <t>program_start_date</t>
        </is>
      </c>
      <c r="H2" s="4" t="inlineStr">
        <is>
          <t>region_code</t>
        </is>
      </c>
      <c r="I2" s="4" t="inlineStr">
        <is>
          <t>site_code</t>
        </is>
      </c>
      <c r="J2" s="4" t="inlineStr">
        <is>
          <t>enumerator_code</t>
        </is>
      </c>
      <c r="K2" s="4" t="inlineStr">
        <is>
          <t>consent</t>
        </is>
      </c>
      <c r="L2" s="4" t="inlineStr">
        <is>
          <t>age_group</t>
        </is>
      </c>
      <c r="M2" s="4" t="inlineStr">
        <is>
          <t>gender</t>
        </is>
      </c>
      <c r="N2" s="4" t="inlineStr">
        <is>
          <t>household_size</t>
        </is>
      </c>
      <c r="O2" s="4" t="inlineStr">
        <is>
          <t>disability_access</t>
        </is>
      </c>
      <c r="P2" s="4" t="inlineStr">
        <is>
          <t>participated_training</t>
        </is>
      </c>
      <c r="Q2" s="4" t="inlineStr">
        <is>
          <t>training_date</t>
        </is>
      </c>
      <c r="R2" s="4" t="inlineStr">
        <is>
          <t>training_topic</t>
        </is>
      </c>
      <c r="S2" s="4" t="inlineStr">
        <is>
          <t>satisfaction_score</t>
        </is>
      </c>
      <c r="T2" s="4" t="inlineStr">
        <is>
          <t>knowledge_before</t>
        </is>
      </c>
      <c r="U2" s="4" t="inlineStr">
        <is>
          <t>knowledge_after</t>
        </is>
      </c>
      <c r="V2" s="4" t="inlineStr">
        <is>
          <t>used_skill</t>
        </is>
      </c>
      <c r="W2" s="4" t="inlineStr">
        <is>
          <t>service_access</t>
        </is>
      </c>
      <c r="X2" s="4" t="inlineStr">
        <is>
          <t>follow_up_requested</t>
        </is>
      </c>
      <c r="Y2" s="4" t="inlineStr">
        <is>
          <t>preferred_channel</t>
        </is>
      </c>
      <c r="Z2" s="4" t="inlineStr">
        <is>
          <t>open_comment</t>
        </is>
      </c>
      <c r="AA2" s="4" t="inlineStr">
        <is>
          <t>completion_minutes</t>
        </is>
      </c>
      <c r="AB2" s="4" t="inlineStr">
        <is>
          <t>qc_missing_required</t>
        </is>
      </c>
      <c r="AC2" s="4" t="inlineStr">
        <is>
          <t>qc_duplicate_response_id</t>
        </is>
      </c>
      <c r="AD2" s="4" t="inlineStr">
        <is>
          <t>qc_invalid_code</t>
        </is>
      </c>
      <c r="AE2" s="4" t="inlineStr">
        <is>
          <t>qc_date_consistency</t>
        </is>
      </c>
      <c r="AF2" s="4" t="inlineStr">
        <is>
          <t>qc_out_of_range</t>
        </is>
      </c>
      <c r="AG2" s="4" t="inlineStr">
        <is>
          <t>qc_region_site_consistency</t>
        </is>
      </c>
      <c r="AH2" s="4" t="inlineStr">
        <is>
          <t>qc_skip_logic</t>
        </is>
      </c>
      <c r="AI2" s="4" t="inlineStr">
        <is>
          <t>qc_issue_count</t>
        </is>
      </c>
      <c r="AJ2" s="4" t="inlineStr">
        <is>
          <t>qc_any_issue</t>
        </is>
      </c>
    </row>
    <row r="3">
      <c r="A3" t="inlineStr">
        <is>
          <t>SUB-0064</t>
        </is>
      </c>
      <c r="B3" t="inlineStr">
        <is>
          <t>SYN-0064</t>
        </is>
      </c>
      <c r="C3" t="inlineStr">
        <is>
          <t>yes</t>
        </is>
      </c>
      <c r="D3" t="inlineStr">
        <is>
          <t>1.0.0</t>
        </is>
      </c>
      <c r="E3" t="inlineStr">
        <is>
          <t>ROUND_2</t>
        </is>
      </c>
      <c r="F3" s="6" t="n">
        <v>45907</v>
      </c>
      <c r="G3" s="6" t="n">
        <v>45793</v>
      </c>
      <c r="H3" t="inlineStr">
        <is>
          <t>NORTH</t>
        </is>
      </c>
      <c r="I3" t="inlineStr">
        <is>
          <t>N01</t>
        </is>
      </c>
      <c r="J3" t="inlineStr">
        <is>
          <t>ENUM_05</t>
        </is>
      </c>
      <c r="K3" t="inlineStr">
        <is>
          <t>yes</t>
        </is>
      </c>
      <c r="L3" t="inlineStr">
        <is>
          <t>35_44</t>
        </is>
      </c>
      <c r="M3" t="inlineStr">
        <is>
          <t>man</t>
        </is>
      </c>
      <c r="N3" t="n">
        <v>4</v>
      </c>
      <c r="O3" t="inlineStr">
        <is>
          <t>no</t>
        </is>
      </c>
      <c r="P3" t="inlineStr">
        <is>
          <t>yes</t>
        </is>
      </c>
      <c r="Q3" s="6" t="n">
        <v>45905</v>
      </c>
      <c r="R3" t="inlineStr">
        <is>
          <t>digital_skills</t>
        </is>
      </c>
      <c r="S3" t="n">
        <v>3</v>
      </c>
      <c r="T3" t="n">
        <v>1</v>
      </c>
      <c r="U3" t="n">
        <v>2</v>
      </c>
      <c r="V3" t="inlineStr">
        <is>
          <t>no</t>
        </is>
      </c>
      <c r="W3" t="n">
        <v>1</v>
      </c>
      <c r="X3" t="inlineStr">
        <is>
          <t>no</t>
        </is>
      </c>
      <c r="AA3" t="n">
        <v>19.8</v>
      </c>
      <c r="AB3">
        <f>IF(COUNTA($A3:$AA3)=0,"",AND($K3="yes",OR((COUNTBLANK($E3:$J3)+COUNTBLANK($L3:$P3)+COUNTBLANK($W3:$X3)+COUNTBLANK($AA3))&gt;0,AND($P3="yes",(COUNTBLANK($Q3:$R3)+COUNTBLANK($S3:$V3))&gt;0),AND($X3="yes",$Y3=""))))</f>
        <v/>
      </c>
      <c r="AC3">
        <f>IF(COUNTA($A3:$AA3)=0,"",AND($B3&lt;&gt;"",COUNTIF($B$3:$B$33,$B3)&gt;1))</f>
        <v/>
      </c>
      <c r="AD3">
        <f>IF(COUNTA($A3:$AA3)=0,"",OR($C3&lt;&gt;"yes",AND($E3&lt;&gt;"",ISNA(MATCH($E3,ValidRounds,0))),AND($H3&lt;&gt;"",ISNA(MATCH($H3,ValidRegions,0))),AND($I3&lt;&gt;"",ISNA(MATCH($I3,ValidSites,0))),AND($J3&lt;&gt;"",ISNA(MATCH($J3,ValidEnumerators,0))),AND($K3&lt;&gt;"",ISNA(MATCH($K3,ValidYesNo,0))),AND($L3&lt;&gt;"",ISNA(MATCH($L3,ValidAgeGroups,0))),AND($M3&lt;&gt;"",ISNA(MATCH($M3,ValidGenders,0))),AND($O3&lt;&gt;"",ISNA(MATCH($O3,ValidYesNo,0))),AND($P3&lt;&gt;"",ISNA(MATCH($P3,ValidYesNo,0))),AND($R3&lt;&gt;"",ISNA(MATCH($R3,ValidTopics,0))),AND($V3&lt;&gt;"",ISNA(MATCH($V3,ValidYesNo,0))),AND($X3&lt;&gt;"",ISNA(MATCH($X3,ValidYesNo,0))),AND($Y3&lt;&gt;"",ISNA(MATCH($Y3,ValidChannels,0)))))</f>
        <v/>
      </c>
      <c r="AE3">
        <f>IF(COUNTA($A3:$AA3)=0,"",AND($K3="yes",OR(AND($F3&lt;&gt;"",OR($F3&lt;SurveyStart,$F3&gt;SurveyEnd)),AND($G3&lt;&gt;"",$F3&lt;&gt;"",$G3&gt;$F3),AND($P3="yes",$Q3&lt;&gt;"",$G3&lt;&gt;"",$Q3&lt;$G3),AND($P3="yes",$Q3&lt;&gt;"",$F3&lt;&gt;"",$Q3&gt;$F3))))</f>
        <v/>
      </c>
      <c r="AF3">
        <f>IF(COUNTA($A3:$AA3)=0,"",AND($K3="yes",OR(AND($N3&lt;&gt;"",OR($N3&lt;HouseholdMin,$N3&gt;HouseholdMax)),AND($S3&lt;&gt;"",OR($S3&lt;ScoreMin,$S3&gt;ScoreMax)),AND($T3&lt;&gt;"",OR($T3&lt;ScoreMin,$T3&gt;ScoreMax)),AND($U3&lt;&gt;"",OR($U3&lt;ScoreMin,$U3&gt;ScoreMax)),AND($W3&lt;&gt;"",OR($W3&lt;ScoreMin,$W3&gt;ScoreMax)),AND($AA3&lt;&gt;"",OR($AA3&lt;CompletionMin,$AA3&gt;CompletionMax)))))</f>
        <v/>
      </c>
      <c r="AG3">
        <f>IF(COUNTA($A3:$AA3)=0,"",AND($K3="yes",$H3&lt;&gt;"",$I3&lt;&gt;"",IFERROR(INDEX(SiteRegionList,MATCH($I3,SiteList,0)),"")&lt;&gt;$H3))</f>
        <v/>
      </c>
      <c r="AH3">
        <f>IF(COUNTA($A3:$AA3)=0,"",AND($K3="yes",OR(AND($P3="no",OR($Q3&lt;&gt;"",$R3&lt;&gt;"",$S3&lt;&gt;"",$T3&lt;&gt;"",$U3&lt;&gt;"",$V3&lt;&gt;"")),AND($X3="no",$Y3&lt;&gt;""))))</f>
        <v/>
      </c>
      <c r="AI3">
        <f>IF(COUNTA($A3:$AA3)=0,"",COUNTIF($AB3:$AH3,TRUE))</f>
        <v/>
      </c>
      <c r="AJ3">
        <f>IF(COUNTA($A3:$AA3)=0,"",$AI3&gt;0)</f>
        <v/>
      </c>
    </row>
    <row r="4">
      <c r="A4" t="inlineStr">
        <is>
          <t>SUB-0002</t>
        </is>
      </c>
      <c r="B4" t="inlineStr">
        <is>
          <t>SYN-0002</t>
        </is>
      </c>
      <c r="C4" t="inlineStr">
        <is>
          <t>yes</t>
        </is>
      </c>
      <c r="D4" t="inlineStr">
        <is>
          <t>1.0.0</t>
        </is>
      </c>
      <c r="E4" t="inlineStr">
        <is>
          <t>ROUND_1</t>
        </is>
      </c>
      <c r="F4" s="6" t="n">
        <v>45857</v>
      </c>
      <c r="G4" s="6" t="n">
        <v>45766</v>
      </c>
      <c r="H4" t="inlineStr">
        <is>
          <t>WEST</t>
        </is>
      </c>
      <c r="I4" t="inlineStr">
        <is>
          <t>W01</t>
        </is>
      </c>
      <c r="J4" t="inlineStr">
        <is>
          <t>ENUM_03</t>
        </is>
      </c>
      <c r="K4" t="inlineStr">
        <is>
          <t>yes</t>
        </is>
      </c>
      <c r="L4" t="inlineStr">
        <is>
          <t>18_24</t>
        </is>
      </c>
      <c r="M4" t="inlineStr">
        <is>
          <t>man</t>
        </is>
      </c>
      <c r="N4" t="n">
        <v>6</v>
      </c>
      <c r="O4" t="inlineStr">
        <is>
          <t>no</t>
        </is>
      </c>
      <c r="P4" t="inlineStr">
        <is>
          <t>no</t>
        </is>
      </c>
      <c r="W4" t="n">
        <v>3</v>
      </c>
      <c r="X4" t="inlineStr">
        <is>
          <t>no</t>
        </is>
      </c>
      <c r="AA4" t="n">
        <v>8.300000000000001</v>
      </c>
      <c r="AB4">
        <f>IF(COUNTA($A4:$AA4)=0,"",AND($K4="yes",OR((COUNTBLANK($E4:$J4)+COUNTBLANK($L4:$P4)+COUNTBLANK($W4:$X4)+COUNTBLANK($AA4))&gt;0,AND($P4="yes",(COUNTBLANK($Q4:$R4)+COUNTBLANK($S4:$V4))&gt;0),AND($X4="yes",$Y4=""))))</f>
        <v/>
      </c>
      <c r="AC4">
        <f>IF(COUNTA($A4:$AA4)=0,"",AND($B4&lt;&gt;"",COUNTIF($B$3:$B$33,$B4)&gt;1))</f>
        <v/>
      </c>
      <c r="AD4">
        <f>IF(COUNTA($A4:$AA4)=0,"",OR($C4&lt;&gt;"yes",AND($E4&lt;&gt;"",ISNA(MATCH($E4,ValidRounds,0))),AND($H4&lt;&gt;"",ISNA(MATCH($H4,ValidRegions,0))),AND($I4&lt;&gt;"",ISNA(MATCH($I4,ValidSites,0))),AND($J4&lt;&gt;"",ISNA(MATCH($J4,ValidEnumerators,0))),AND($K4&lt;&gt;"",ISNA(MATCH($K4,ValidYesNo,0))),AND($L4&lt;&gt;"",ISNA(MATCH($L4,ValidAgeGroups,0))),AND($M4&lt;&gt;"",ISNA(MATCH($M4,ValidGenders,0))),AND($O4&lt;&gt;"",ISNA(MATCH($O4,ValidYesNo,0))),AND($P4&lt;&gt;"",ISNA(MATCH($P4,ValidYesNo,0))),AND($R4&lt;&gt;"",ISNA(MATCH($R4,ValidTopics,0))),AND($V4&lt;&gt;"",ISNA(MATCH($V4,ValidYesNo,0))),AND($X4&lt;&gt;"",ISNA(MATCH($X4,ValidYesNo,0))),AND($Y4&lt;&gt;"",ISNA(MATCH($Y4,ValidChannels,0)))))</f>
        <v/>
      </c>
      <c r="AE4">
        <f>IF(COUNTA($A4:$AA4)=0,"",AND($K4="yes",OR(AND($F4&lt;&gt;"",OR($F4&lt;SurveyStart,$F4&gt;SurveyEnd)),AND($G4&lt;&gt;"",$F4&lt;&gt;"",$G4&gt;$F4),AND($P4="yes",$Q4&lt;&gt;"",$G4&lt;&gt;"",$Q4&lt;$G4),AND($P4="yes",$Q4&lt;&gt;"",$F4&lt;&gt;"",$Q4&gt;$F4))))</f>
        <v/>
      </c>
      <c r="AF4">
        <f>IF(COUNTA($A4:$AA4)=0,"",AND($K4="yes",OR(AND($N4&lt;&gt;"",OR($N4&lt;HouseholdMin,$N4&gt;HouseholdMax)),AND($S4&lt;&gt;"",OR($S4&lt;ScoreMin,$S4&gt;ScoreMax)),AND($T4&lt;&gt;"",OR($T4&lt;ScoreMin,$T4&gt;ScoreMax)),AND($U4&lt;&gt;"",OR($U4&lt;ScoreMin,$U4&gt;ScoreMax)),AND($W4&lt;&gt;"",OR($W4&lt;ScoreMin,$W4&gt;ScoreMax)),AND($AA4&lt;&gt;"",OR($AA4&lt;CompletionMin,$AA4&gt;CompletionMax)))))</f>
        <v/>
      </c>
      <c r="AG4">
        <f>IF(COUNTA($A4:$AA4)=0,"",AND($K4="yes",$H4&lt;&gt;"",$I4&lt;&gt;"",IFERROR(INDEX(SiteRegionList,MATCH($I4,SiteList,0)),"")&lt;&gt;$H4))</f>
        <v/>
      </c>
      <c r="AH4">
        <f>IF(COUNTA($A4:$AA4)=0,"",AND($K4="yes",OR(AND($P4="no",OR($Q4&lt;&gt;"",$R4&lt;&gt;"",$S4&lt;&gt;"",$T4&lt;&gt;"",$U4&lt;&gt;"",$V4&lt;&gt;"")),AND($X4="no",$Y4&lt;&gt;""))))</f>
        <v/>
      </c>
      <c r="AI4">
        <f>IF(COUNTA($A4:$AA4)=0,"",COUNTIF($AB4:$AH4,TRUE))</f>
        <v/>
      </c>
      <c r="AJ4">
        <f>IF(COUNTA($A4:$AA4)=0,"",$AI4&gt;0)</f>
        <v/>
      </c>
    </row>
    <row r="5">
      <c r="A5" t="inlineStr">
        <is>
          <t>SUB-0003</t>
        </is>
      </c>
      <c r="B5" t="inlineStr">
        <is>
          <t>SYN-0003</t>
        </is>
      </c>
      <c r="C5" t="inlineStr">
        <is>
          <t>yes</t>
        </is>
      </c>
      <c r="D5" t="inlineStr">
        <is>
          <t>1.0.0</t>
        </is>
      </c>
      <c r="E5" t="inlineStr">
        <is>
          <t>ROUND_1</t>
        </is>
      </c>
      <c r="F5" s="6" t="n">
        <v>45873</v>
      </c>
      <c r="G5" s="6" t="n">
        <v>45740</v>
      </c>
      <c r="H5" t="inlineStr">
        <is>
          <t>NORTH</t>
        </is>
      </c>
      <c r="I5" t="inlineStr">
        <is>
          <t>N01</t>
        </is>
      </c>
      <c r="J5" t="inlineStr">
        <is>
          <t>ENUM_06</t>
        </is>
      </c>
      <c r="K5" t="inlineStr">
        <is>
          <t>yes</t>
        </is>
      </c>
      <c r="L5" t="inlineStr">
        <is>
          <t>25_34</t>
        </is>
      </c>
      <c r="M5" t="inlineStr">
        <is>
          <t>man</t>
        </is>
      </c>
      <c r="N5" t="n">
        <v>4</v>
      </c>
      <c r="O5" t="inlineStr">
        <is>
          <t>yes</t>
        </is>
      </c>
      <c r="P5" t="inlineStr">
        <is>
          <t>no</t>
        </is>
      </c>
      <c r="W5" t="n">
        <v>5</v>
      </c>
      <c r="X5" t="inlineStr">
        <is>
          <t>no</t>
        </is>
      </c>
      <c r="AA5" t="n">
        <v>16.6</v>
      </c>
      <c r="AB5">
        <f>IF(COUNTA($A5:$AA5)=0,"",AND($K5="yes",OR((COUNTBLANK($E5:$J5)+COUNTBLANK($L5:$P5)+COUNTBLANK($W5:$X5)+COUNTBLANK($AA5))&gt;0,AND($P5="yes",(COUNTBLANK($Q5:$R5)+COUNTBLANK($S5:$V5))&gt;0),AND($X5="yes",$Y5=""))))</f>
        <v/>
      </c>
      <c r="AC5">
        <f>IF(COUNTA($A5:$AA5)=0,"",AND($B5&lt;&gt;"",COUNTIF($B$3:$B$33,$B5)&gt;1))</f>
        <v/>
      </c>
      <c r="AD5">
        <f>IF(COUNTA($A5:$AA5)=0,"",OR($C5&lt;&gt;"yes",AND($E5&lt;&gt;"",ISNA(MATCH($E5,ValidRounds,0))),AND($H5&lt;&gt;"",ISNA(MATCH($H5,ValidRegions,0))),AND($I5&lt;&gt;"",ISNA(MATCH($I5,ValidSites,0))),AND($J5&lt;&gt;"",ISNA(MATCH($J5,ValidEnumerators,0))),AND($K5&lt;&gt;"",ISNA(MATCH($K5,ValidYesNo,0))),AND($L5&lt;&gt;"",ISNA(MATCH($L5,ValidAgeGroups,0))),AND($M5&lt;&gt;"",ISNA(MATCH($M5,ValidGenders,0))),AND($O5&lt;&gt;"",ISNA(MATCH($O5,ValidYesNo,0))),AND($P5&lt;&gt;"",ISNA(MATCH($P5,ValidYesNo,0))),AND($R5&lt;&gt;"",ISNA(MATCH($R5,ValidTopics,0))),AND($V5&lt;&gt;"",ISNA(MATCH($V5,ValidYesNo,0))),AND($X5&lt;&gt;"",ISNA(MATCH($X5,ValidYesNo,0))),AND($Y5&lt;&gt;"",ISNA(MATCH($Y5,ValidChannels,0)))))</f>
        <v/>
      </c>
      <c r="AE5">
        <f>IF(COUNTA($A5:$AA5)=0,"",AND($K5="yes",OR(AND($F5&lt;&gt;"",OR($F5&lt;SurveyStart,$F5&gt;SurveyEnd)),AND($G5&lt;&gt;"",$F5&lt;&gt;"",$G5&gt;$F5),AND($P5="yes",$Q5&lt;&gt;"",$G5&lt;&gt;"",$Q5&lt;$G5),AND($P5="yes",$Q5&lt;&gt;"",$F5&lt;&gt;"",$Q5&gt;$F5))))</f>
        <v/>
      </c>
      <c r="AF5">
        <f>IF(COUNTA($A5:$AA5)=0,"",AND($K5="yes",OR(AND($N5&lt;&gt;"",OR($N5&lt;HouseholdMin,$N5&gt;HouseholdMax)),AND($S5&lt;&gt;"",OR($S5&lt;ScoreMin,$S5&gt;ScoreMax)),AND($T5&lt;&gt;"",OR($T5&lt;ScoreMin,$T5&gt;ScoreMax)),AND($U5&lt;&gt;"",OR($U5&lt;ScoreMin,$U5&gt;ScoreMax)),AND($W5&lt;&gt;"",OR($W5&lt;ScoreMin,$W5&gt;ScoreMax)),AND($AA5&lt;&gt;"",OR($AA5&lt;CompletionMin,$AA5&gt;CompletionMax)))))</f>
        <v/>
      </c>
      <c r="AG5">
        <f>IF(COUNTA($A5:$AA5)=0,"",AND($K5="yes",$H5&lt;&gt;"",$I5&lt;&gt;"",IFERROR(INDEX(SiteRegionList,MATCH($I5,SiteList,0)),"")&lt;&gt;$H5))</f>
        <v/>
      </c>
      <c r="AH5">
        <f>IF(COUNTA($A5:$AA5)=0,"",AND($K5="yes",OR(AND($P5="no",OR($Q5&lt;&gt;"",$R5&lt;&gt;"",$S5&lt;&gt;"",$T5&lt;&gt;"",$U5&lt;&gt;"",$V5&lt;&gt;"")),AND($X5="no",$Y5&lt;&gt;""))))</f>
        <v/>
      </c>
      <c r="AI5">
        <f>IF(COUNTA($A5:$AA5)=0,"",COUNTIF($AB5:$AH5,TRUE))</f>
        <v/>
      </c>
      <c r="AJ5">
        <f>IF(COUNTA($A5:$AA5)=0,"",$AI5&gt;0)</f>
        <v/>
      </c>
    </row>
    <row r="6">
      <c r="A6" t="inlineStr">
        <is>
          <t>SUB-0239</t>
        </is>
      </c>
      <c r="B6" t="inlineStr">
        <is>
          <t>SYN-0239</t>
        </is>
      </c>
      <c r="C6" t="inlineStr">
        <is>
          <t>yes</t>
        </is>
      </c>
      <c r="D6" t="inlineStr">
        <is>
          <t>1.0.0</t>
        </is>
      </c>
      <c r="E6" t="inlineStr">
        <is>
          <t>ROUND_1</t>
        </is>
      </c>
      <c r="F6" s="6" t="n">
        <v>45851</v>
      </c>
      <c r="G6" s="6" t="n">
        <v>45810</v>
      </c>
      <c r="H6" t="inlineStr">
        <is>
          <t>EAST</t>
        </is>
      </c>
      <c r="I6" t="inlineStr">
        <is>
          <t>E02</t>
        </is>
      </c>
      <c r="J6" t="inlineStr">
        <is>
          <t>ENUM_06</t>
        </is>
      </c>
      <c r="K6" t="inlineStr">
        <is>
          <t>yes</t>
        </is>
      </c>
      <c r="L6" t="inlineStr">
        <is>
          <t>18_24</t>
        </is>
      </c>
      <c r="M6" t="inlineStr">
        <is>
          <t>man</t>
        </is>
      </c>
      <c r="N6" t="n">
        <v>8</v>
      </c>
      <c r="O6" t="inlineStr">
        <is>
          <t>no</t>
        </is>
      </c>
      <c r="P6" t="inlineStr">
        <is>
          <t>yes</t>
        </is>
      </c>
      <c r="Q6" s="6" t="n">
        <v>45850</v>
      </c>
      <c r="R6" t="inlineStr">
        <is>
          <t>planning</t>
        </is>
      </c>
      <c r="S6" t="n">
        <v>5</v>
      </c>
      <c r="T6" t="n">
        <v>2</v>
      </c>
      <c r="U6" t="n">
        <v>2</v>
      </c>
      <c r="V6" t="inlineStr">
        <is>
          <t>yes</t>
        </is>
      </c>
      <c r="W6" t="n">
        <v>4</v>
      </c>
      <c r="X6" t="inlineStr">
        <is>
          <t>yes</t>
        </is>
      </c>
      <c r="Y6" t="inlineStr">
        <is>
          <t>radio</t>
        </is>
      </c>
      <c r="AA6" t="n">
        <v>19.5</v>
      </c>
      <c r="AB6">
        <f>IF(COUNTA($A6:$AA6)=0,"",AND($K6="yes",OR((COUNTBLANK($E6:$J6)+COUNTBLANK($L6:$P6)+COUNTBLANK($W6:$X6)+COUNTBLANK($AA6))&gt;0,AND($P6="yes",(COUNTBLANK($Q6:$R6)+COUNTBLANK($S6:$V6))&gt;0),AND($X6="yes",$Y6=""))))</f>
        <v/>
      </c>
      <c r="AC6">
        <f>IF(COUNTA($A6:$AA6)=0,"",AND($B6&lt;&gt;"",COUNTIF($B$3:$B$33,$B6)&gt;1))</f>
        <v/>
      </c>
      <c r="AD6">
        <f>IF(COUNTA($A6:$AA6)=0,"",OR($C6&lt;&gt;"yes",AND($E6&lt;&gt;"",ISNA(MATCH($E6,ValidRounds,0))),AND($H6&lt;&gt;"",ISNA(MATCH($H6,ValidRegions,0))),AND($I6&lt;&gt;"",ISNA(MATCH($I6,ValidSites,0))),AND($J6&lt;&gt;"",ISNA(MATCH($J6,ValidEnumerators,0))),AND($K6&lt;&gt;"",ISNA(MATCH($K6,ValidYesNo,0))),AND($L6&lt;&gt;"",ISNA(MATCH($L6,ValidAgeGroups,0))),AND($M6&lt;&gt;"",ISNA(MATCH($M6,ValidGenders,0))),AND($O6&lt;&gt;"",ISNA(MATCH($O6,ValidYesNo,0))),AND($P6&lt;&gt;"",ISNA(MATCH($P6,ValidYesNo,0))),AND($R6&lt;&gt;"",ISNA(MATCH($R6,ValidTopics,0))),AND($V6&lt;&gt;"",ISNA(MATCH($V6,ValidYesNo,0))),AND($X6&lt;&gt;"",ISNA(MATCH($X6,ValidYesNo,0))),AND($Y6&lt;&gt;"",ISNA(MATCH($Y6,ValidChannels,0)))))</f>
        <v/>
      </c>
      <c r="AE6">
        <f>IF(COUNTA($A6:$AA6)=0,"",AND($K6="yes",OR(AND($F6&lt;&gt;"",OR($F6&lt;SurveyStart,$F6&gt;SurveyEnd)),AND($G6&lt;&gt;"",$F6&lt;&gt;"",$G6&gt;$F6),AND($P6="yes",$Q6&lt;&gt;"",$G6&lt;&gt;"",$Q6&lt;$G6),AND($P6="yes",$Q6&lt;&gt;"",$F6&lt;&gt;"",$Q6&gt;$F6))))</f>
        <v/>
      </c>
      <c r="AF6">
        <f>IF(COUNTA($A6:$AA6)=0,"",AND($K6="yes",OR(AND($N6&lt;&gt;"",OR($N6&lt;HouseholdMin,$N6&gt;HouseholdMax)),AND($S6&lt;&gt;"",OR($S6&lt;ScoreMin,$S6&gt;ScoreMax)),AND($T6&lt;&gt;"",OR($T6&lt;ScoreMin,$T6&gt;ScoreMax)),AND($U6&lt;&gt;"",OR($U6&lt;ScoreMin,$U6&gt;ScoreMax)),AND($W6&lt;&gt;"",OR($W6&lt;ScoreMin,$W6&gt;ScoreMax)),AND($AA6&lt;&gt;"",OR($AA6&lt;CompletionMin,$AA6&gt;CompletionMax)))))</f>
        <v/>
      </c>
      <c r="AG6">
        <f>IF(COUNTA($A6:$AA6)=0,"",AND($K6="yes",$H6&lt;&gt;"",$I6&lt;&gt;"",IFERROR(INDEX(SiteRegionList,MATCH($I6,SiteList,0)),"")&lt;&gt;$H6))</f>
        <v/>
      </c>
      <c r="AH6">
        <f>IF(COUNTA($A6:$AA6)=0,"",AND($K6="yes",OR(AND($P6="no",OR($Q6&lt;&gt;"",$R6&lt;&gt;"",$S6&lt;&gt;"",$T6&lt;&gt;"",$U6&lt;&gt;"",$V6&lt;&gt;"")),AND($X6="no",$Y6&lt;&gt;""))))</f>
        <v/>
      </c>
      <c r="AI6">
        <f>IF(COUNTA($A6:$AA6)=0,"",COUNTIF($AB6:$AH6,TRUE))</f>
        <v/>
      </c>
      <c r="AJ6">
        <f>IF(COUNTA($A6:$AA6)=0,"",$AI6&gt;0)</f>
        <v/>
      </c>
    </row>
    <row r="7">
      <c r="A7" t="inlineStr">
        <is>
          <t>SUB-DUP-001</t>
        </is>
      </c>
      <c r="B7" t="inlineStr">
        <is>
          <t>SYN-0239</t>
        </is>
      </c>
      <c r="C7" t="inlineStr">
        <is>
          <t>yes</t>
        </is>
      </c>
      <c r="D7" t="inlineStr">
        <is>
          <t>1.0.0</t>
        </is>
      </c>
      <c r="E7" t="inlineStr">
        <is>
          <t>ROUND_1</t>
        </is>
      </c>
      <c r="F7" s="6" t="n">
        <v>45851</v>
      </c>
      <c r="G7" s="6" t="n">
        <v>45810</v>
      </c>
      <c r="H7" t="inlineStr">
        <is>
          <t>EAST</t>
        </is>
      </c>
      <c r="I7" t="inlineStr">
        <is>
          <t>E02</t>
        </is>
      </c>
      <c r="J7" t="inlineStr">
        <is>
          <t>ENUM_06</t>
        </is>
      </c>
      <c r="K7" t="inlineStr">
        <is>
          <t>yes</t>
        </is>
      </c>
      <c r="L7" t="inlineStr">
        <is>
          <t>18_24</t>
        </is>
      </c>
      <c r="M7" t="inlineStr">
        <is>
          <t>man</t>
        </is>
      </c>
      <c r="N7" t="n">
        <v>8</v>
      </c>
      <c r="O7" t="inlineStr">
        <is>
          <t>no</t>
        </is>
      </c>
      <c r="P7" t="inlineStr">
        <is>
          <t>yes</t>
        </is>
      </c>
      <c r="Q7" s="6" t="n">
        <v>45850</v>
      </c>
      <c r="R7" t="inlineStr">
        <is>
          <t>planning</t>
        </is>
      </c>
      <c r="S7" t="n">
        <v>5</v>
      </c>
      <c r="T7" t="n">
        <v>2</v>
      </c>
      <c r="U7" t="n">
        <v>2</v>
      </c>
      <c r="V7" t="inlineStr">
        <is>
          <t>yes</t>
        </is>
      </c>
      <c r="W7" t="n">
        <v>4</v>
      </c>
      <c r="X7" t="inlineStr">
        <is>
          <t>yes</t>
        </is>
      </c>
      <c r="Y7" t="inlineStr">
        <is>
          <t>radio</t>
        </is>
      </c>
      <c r="AA7" t="n">
        <v>19.5</v>
      </c>
      <c r="AB7">
        <f>IF(COUNTA($A7:$AA7)=0,"",AND($K7="yes",OR((COUNTBLANK($E7:$J7)+COUNTBLANK($L7:$P7)+COUNTBLANK($W7:$X7)+COUNTBLANK($AA7))&gt;0,AND($P7="yes",(COUNTBLANK($Q7:$R7)+COUNTBLANK($S7:$V7))&gt;0),AND($X7="yes",$Y7=""))))</f>
        <v/>
      </c>
      <c r="AC7">
        <f>IF(COUNTA($A7:$AA7)=0,"",AND($B7&lt;&gt;"",COUNTIF($B$3:$B$33,$B7)&gt;1))</f>
        <v/>
      </c>
      <c r="AD7">
        <f>IF(COUNTA($A7:$AA7)=0,"",OR($C7&lt;&gt;"yes",AND($E7&lt;&gt;"",ISNA(MATCH($E7,ValidRounds,0))),AND($H7&lt;&gt;"",ISNA(MATCH($H7,ValidRegions,0))),AND($I7&lt;&gt;"",ISNA(MATCH($I7,ValidSites,0))),AND($J7&lt;&gt;"",ISNA(MATCH($J7,ValidEnumerators,0))),AND($K7&lt;&gt;"",ISNA(MATCH($K7,ValidYesNo,0))),AND($L7&lt;&gt;"",ISNA(MATCH($L7,ValidAgeGroups,0))),AND($M7&lt;&gt;"",ISNA(MATCH($M7,ValidGenders,0))),AND($O7&lt;&gt;"",ISNA(MATCH($O7,ValidYesNo,0))),AND($P7&lt;&gt;"",ISNA(MATCH($P7,ValidYesNo,0))),AND($R7&lt;&gt;"",ISNA(MATCH($R7,ValidTopics,0))),AND($V7&lt;&gt;"",ISNA(MATCH($V7,ValidYesNo,0))),AND($X7&lt;&gt;"",ISNA(MATCH($X7,ValidYesNo,0))),AND($Y7&lt;&gt;"",ISNA(MATCH($Y7,ValidChannels,0)))))</f>
        <v/>
      </c>
      <c r="AE7">
        <f>IF(COUNTA($A7:$AA7)=0,"",AND($K7="yes",OR(AND($F7&lt;&gt;"",OR($F7&lt;SurveyStart,$F7&gt;SurveyEnd)),AND($G7&lt;&gt;"",$F7&lt;&gt;"",$G7&gt;$F7),AND($P7="yes",$Q7&lt;&gt;"",$G7&lt;&gt;"",$Q7&lt;$G7),AND($P7="yes",$Q7&lt;&gt;"",$F7&lt;&gt;"",$Q7&gt;$F7))))</f>
        <v/>
      </c>
      <c r="AF7">
        <f>IF(COUNTA($A7:$AA7)=0,"",AND($K7="yes",OR(AND($N7&lt;&gt;"",OR($N7&lt;HouseholdMin,$N7&gt;HouseholdMax)),AND($S7&lt;&gt;"",OR($S7&lt;ScoreMin,$S7&gt;ScoreMax)),AND($T7&lt;&gt;"",OR($T7&lt;ScoreMin,$T7&gt;ScoreMax)),AND($U7&lt;&gt;"",OR($U7&lt;ScoreMin,$U7&gt;ScoreMax)),AND($W7&lt;&gt;"",OR($W7&lt;ScoreMin,$W7&gt;ScoreMax)),AND($AA7&lt;&gt;"",OR($AA7&lt;CompletionMin,$AA7&gt;CompletionMax)))))</f>
        <v/>
      </c>
      <c r="AG7">
        <f>IF(COUNTA($A7:$AA7)=0,"",AND($K7="yes",$H7&lt;&gt;"",$I7&lt;&gt;"",IFERROR(INDEX(SiteRegionList,MATCH($I7,SiteList,0)),"")&lt;&gt;$H7))</f>
        <v/>
      </c>
      <c r="AH7">
        <f>IF(COUNTA($A7:$AA7)=0,"",AND($K7="yes",OR(AND($P7="no",OR($Q7&lt;&gt;"",$R7&lt;&gt;"",$S7&lt;&gt;"",$T7&lt;&gt;"",$U7&lt;&gt;"",$V7&lt;&gt;"")),AND($X7="no",$Y7&lt;&gt;""))))</f>
        <v/>
      </c>
      <c r="AI7">
        <f>IF(COUNTA($A7:$AA7)=0,"",COUNTIF($AB7:$AH7,TRUE))</f>
        <v/>
      </c>
      <c r="AJ7">
        <f>IF(COUNTA($A7:$AA7)=0,"",$AI7&gt;0)</f>
        <v/>
      </c>
    </row>
    <row r="8">
      <c r="A8" t="inlineStr">
        <is>
          <t>SUB-0116</t>
        </is>
      </c>
      <c r="B8" t="inlineStr">
        <is>
          <t>SYN-0116</t>
        </is>
      </c>
      <c r="C8" t="inlineStr">
        <is>
          <t>yes</t>
        </is>
      </c>
      <c r="D8" t="inlineStr">
        <is>
          <t>1.0.0</t>
        </is>
      </c>
      <c r="E8" t="inlineStr">
        <is>
          <t>ROUND_1</t>
        </is>
      </c>
      <c r="F8" s="6" t="n">
        <v>45913</v>
      </c>
      <c r="G8" s="6" t="n">
        <v>45852</v>
      </c>
      <c r="H8" t="inlineStr">
        <is>
          <t>NORTH</t>
        </is>
      </c>
      <c r="I8" t="inlineStr">
        <is>
          <t>N03</t>
        </is>
      </c>
      <c r="J8" t="inlineStr">
        <is>
          <t>ENUM_07</t>
        </is>
      </c>
      <c r="K8" t="inlineStr">
        <is>
          <t>yes</t>
        </is>
      </c>
      <c r="L8" t="inlineStr">
        <is>
          <t>25_34</t>
        </is>
      </c>
      <c r="N8" t="n">
        <v>2</v>
      </c>
      <c r="O8" t="inlineStr">
        <is>
          <t>no</t>
        </is>
      </c>
      <c r="P8" t="inlineStr">
        <is>
          <t>yes</t>
        </is>
      </c>
      <c r="Q8" s="6" t="n">
        <v>45867</v>
      </c>
      <c r="R8" t="inlineStr">
        <is>
          <t>digital_skills</t>
        </is>
      </c>
      <c r="S8" t="n">
        <v>4</v>
      </c>
      <c r="T8" t="n">
        <v>4</v>
      </c>
      <c r="U8" t="n">
        <v>5</v>
      </c>
      <c r="V8" t="inlineStr">
        <is>
          <t>yes</t>
        </is>
      </c>
      <c r="W8" t="n">
        <v>4</v>
      </c>
      <c r="X8" t="inlineStr">
        <is>
          <t>no</t>
        </is>
      </c>
      <c r="AA8" t="n">
        <v>12.6</v>
      </c>
      <c r="AB8">
        <f>IF(COUNTA($A8:$AA8)=0,"",AND($K8="yes",OR((COUNTBLANK($E8:$J8)+COUNTBLANK($L8:$P8)+COUNTBLANK($W8:$X8)+COUNTBLANK($AA8))&gt;0,AND($P8="yes",(COUNTBLANK($Q8:$R8)+COUNTBLANK($S8:$V8))&gt;0),AND($X8="yes",$Y8=""))))</f>
        <v/>
      </c>
      <c r="AC8">
        <f>IF(COUNTA($A8:$AA8)=0,"",AND($B8&lt;&gt;"",COUNTIF($B$3:$B$33,$B8)&gt;1))</f>
        <v/>
      </c>
      <c r="AD8">
        <f>IF(COUNTA($A8:$AA8)=0,"",OR($C8&lt;&gt;"yes",AND($E8&lt;&gt;"",ISNA(MATCH($E8,ValidRounds,0))),AND($H8&lt;&gt;"",ISNA(MATCH($H8,ValidRegions,0))),AND($I8&lt;&gt;"",ISNA(MATCH($I8,ValidSites,0))),AND($J8&lt;&gt;"",ISNA(MATCH($J8,ValidEnumerators,0))),AND($K8&lt;&gt;"",ISNA(MATCH($K8,ValidYesNo,0))),AND($L8&lt;&gt;"",ISNA(MATCH($L8,ValidAgeGroups,0))),AND($M8&lt;&gt;"",ISNA(MATCH($M8,ValidGenders,0))),AND($O8&lt;&gt;"",ISNA(MATCH($O8,ValidYesNo,0))),AND($P8&lt;&gt;"",ISNA(MATCH($P8,ValidYesNo,0))),AND($R8&lt;&gt;"",ISNA(MATCH($R8,ValidTopics,0))),AND($V8&lt;&gt;"",ISNA(MATCH($V8,ValidYesNo,0))),AND($X8&lt;&gt;"",ISNA(MATCH($X8,ValidYesNo,0))),AND($Y8&lt;&gt;"",ISNA(MATCH($Y8,ValidChannels,0)))))</f>
        <v/>
      </c>
      <c r="AE8">
        <f>IF(COUNTA($A8:$AA8)=0,"",AND($K8="yes",OR(AND($F8&lt;&gt;"",OR($F8&lt;SurveyStart,$F8&gt;SurveyEnd)),AND($G8&lt;&gt;"",$F8&lt;&gt;"",$G8&gt;$F8),AND($P8="yes",$Q8&lt;&gt;"",$G8&lt;&gt;"",$Q8&lt;$G8),AND($P8="yes",$Q8&lt;&gt;"",$F8&lt;&gt;"",$Q8&gt;$F8))))</f>
        <v/>
      </c>
      <c r="AF8">
        <f>IF(COUNTA($A8:$AA8)=0,"",AND($K8="yes",OR(AND($N8&lt;&gt;"",OR($N8&lt;HouseholdMin,$N8&gt;HouseholdMax)),AND($S8&lt;&gt;"",OR($S8&lt;ScoreMin,$S8&gt;ScoreMax)),AND($T8&lt;&gt;"",OR($T8&lt;ScoreMin,$T8&gt;ScoreMax)),AND($U8&lt;&gt;"",OR($U8&lt;ScoreMin,$U8&gt;ScoreMax)),AND($W8&lt;&gt;"",OR($W8&lt;ScoreMin,$W8&gt;ScoreMax)),AND($AA8&lt;&gt;"",OR($AA8&lt;CompletionMin,$AA8&gt;CompletionMax)))))</f>
        <v/>
      </c>
      <c r="AG8">
        <f>IF(COUNTA($A8:$AA8)=0,"",AND($K8="yes",$H8&lt;&gt;"",$I8&lt;&gt;"",IFERROR(INDEX(SiteRegionList,MATCH($I8,SiteList,0)),"")&lt;&gt;$H8))</f>
        <v/>
      </c>
      <c r="AH8">
        <f>IF(COUNTA($A8:$AA8)=0,"",AND($K8="yes",OR(AND($P8="no",OR($Q8&lt;&gt;"",$R8&lt;&gt;"",$S8&lt;&gt;"",$T8&lt;&gt;"",$U8&lt;&gt;"",$V8&lt;&gt;"")),AND($X8="no",$Y8&lt;&gt;""))))</f>
        <v/>
      </c>
      <c r="AI8">
        <f>IF(COUNTA($A8:$AA8)=0,"",COUNTIF($AB8:$AH8,TRUE))</f>
        <v/>
      </c>
      <c r="AJ8">
        <f>IF(COUNTA($A8:$AA8)=0,"",$AI8&gt;0)</f>
        <v/>
      </c>
    </row>
    <row r="9">
      <c r="A9" t="inlineStr">
        <is>
          <t>SUB-0192</t>
        </is>
      </c>
      <c r="B9" t="inlineStr">
        <is>
          <t>SYN-0192</t>
        </is>
      </c>
      <c r="C9" t="inlineStr">
        <is>
          <t>yes</t>
        </is>
      </c>
      <c r="D9" t="inlineStr">
        <is>
          <t>1.0.0</t>
        </is>
      </c>
      <c r="E9" t="inlineStr">
        <is>
          <t>ROUND_2</t>
        </is>
      </c>
      <c r="F9" s="6" t="n">
        <v>45808</v>
      </c>
      <c r="G9" s="6" t="n">
        <v>45701</v>
      </c>
      <c r="H9" t="inlineStr">
        <is>
          <t>CENTRAL</t>
        </is>
      </c>
      <c r="I9" t="inlineStr">
        <is>
          <t>E03</t>
        </is>
      </c>
      <c r="J9" t="inlineStr">
        <is>
          <t>ENUM_02</t>
        </is>
      </c>
      <c r="K9" t="inlineStr">
        <is>
          <t>yes</t>
        </is>
      </c>
      <c r="L9" t="inlineStr">
        <is>
          <t>25_34</t>
        </is>
      </c>
      <c r="M9" t="inlineStr">
        <is>
          <t>woman</t>
        </is>
      </c>
      <c r="N9" t="n">
        <v>3</v>
      </c>
      <c r="O9" t="inlineStr">
        <is>
          <t>no</t>
        </is>
      </c>
      <c r="P9" t="inlineStr">
        <is>
          <t>yes</t>
        </is>
      </c>
      <c r="Q9" s="6" t="n">
        <v>45772</v>
      </c>
      <c r="R9" t="inlineStr">
        <is>
          <t>digital_skills</t>
        </is>
      </c>
      <c r="S9" t="n">
        <v>4</v>
      </c>
      <c r="T9" t="n">
        <v>2</v>
      </c>
      <c r="U9" t="n">
        <v>4</v>
      </c>
      <c r="V9" t="inlineStr">
        <is>
          <t>no</t>
        </is>
      </c>
      <c r="W9" t="n">
        <v>3</v>
      </c>
      <c r="X9" t="inlineStr">
        <is>
          <t>no</t>
        </is>
      </c>
      <c r="AA9" t="n">
        <v>15.9</v>
      </c>
      <c r="AB9">
        <f>IF(COUNTA($A9:$AA9)=0,"",AND($K9="yes",OR((COUNTBLANK($E9:$J9)+COUNTBLANK($L9:$P9)+COUNTBLANK($W9:$X9)+COUNTBLANK($AA9))&gt;0,AND($P9="yes",(COUNTBLANK($Q9:$R9)+COUNTBLANK($S9:$V9))&gt;0),AND($X9="yes",$Y9=""))))</f>
        <v/>
      </c>
      <c r="AC9">
        <f>IF(COUNTA($A9:$AA9)=0,"",AND($B9&lt;&gt;"",COUNTIF($B$3:$B$33,$B9)&gt;1))</f>
        <v/>
      </c>
      <c r="AD9">
        <f>IF(COUNTA($A9:$AA9)=0,"",OR($C9&lt;&gt;"yes",AND($E9&lt;&gt;"",ISNA(MATCH($E9,ValidRounds,0))),AND($H9&lt;&gt;"",ISNA(MATCH($H9,ValidRegions,0))),AND($I9&lt;&gt;"",ISNA(MATCH($I9,ValidSites,0))),AND($J9&lt;&gt;"",ISNA(MATCH($J9,ValidEnumerators,0))),AND($K9&lt;&gt;"",ISNA(MATCH($K9,ValidYesNo,0))),AND($L9&lt;&gt;"",ISNA(MATCH($L9,ValidAgeGroups,0))),AND($M9&lt;&gt;"",ISNA(MATCH($M9,ValidGenders,0))),AND($O9&lt;&gt;"",ISNA(MATCH($O9,ValidYesNo,0))),AND($P9&lt;&gt;"",ISNA(MATCH($P9,ValidYesNo,0))),AND($R9&lt;&gt;"",ISNA(MATCH($R9,ValidTopics,0))),AND($V9&lt;&gt;"",ISNA(MATCH($V9,ValidYesNo,0))),AND($X9&lt;&gt;"",ISNA(MATCH($X9,ValidYesNo,0))),AND($Y9&lt;&gt;"",ISNA(MATCH($Y9,ValidChannels,0)))))</f>
        <v/>
      </c>
      <c r="AE9">
        <f>IF(COUNTA($A9:$AA9)=0,"",AND($K9="yes",OR(AND($F9&lt;&gt;"",OR($F9&lt;SurveyStart,$F9&gt;SurveyEnd)),AND($G9&lt;&gt;"",$F9&lt;&gt;"",$G9&gt;$F9),AND($P9="yes",$Q9&lt;&gt;"",$G9&lt;&gt;"",$Q9&lt;$G9),AND($P9="yes",$Q9&lt;&gt;"",$F9&lt;&gt;"",$Q9&gt;$F9))))</f>
        <v/>
      </c>
      <c r="AF9">
        <f>IF(COUNTA($A9:$AA9)=0,"",AND($K9="yes",OR(AND($N9&lt;&gt;"",OR($N9&lt;HouseholdMin,$N9&gt;HouseholdMax)),AND($S9&lt;&gt;"",OR($S9&lt;ScoreMin,$S9&gt;ScoreMax)),AND($T9&lt;&gt;"",OR($T9&lt;ScoreMin,$T9&gt;ScoreMax)),AND($U9&lt;&gt;"",OR($U9&lt;ScoreMin,$U9&gt;ScoreMax)),AND($W9&lt;&gt;"",OR($W9&lt;ScoreMin,$W9&gt;ScoreMax)),AND($AA9&lt;&gt;"",OR($AA9&lt;CompletionMin,$AA9&gt;CompletionMax)))))</f>
        <v/>
      </c>
      <c r="AG9">
        <f>IF(COUNTA($A9:$AA9)=0,"",AND($K9="yes",$H9&lt;&gt;"",$I9&lt;&gt;"",IFERROR(INDEX(SiteRegionList,MATCH($I9,SiteList,0)),"")&lt;&gt;$H9))</f>
        <v/>
      </c>
      <c r="AH9">
        <f>IF(COUNTA($A9:$AA9)=0,"",AND($K9="yes",OR(AND($P9="no",OR($Q9&lt;&gt;"",$R9&lt;&gt;"",$S9&lt;&gt;"",$T9&lt;&gt;"",$U9&lt;&gt;"",$V9&lt;&gt;"")),AND($X9="no",$Y9&lt;&gt;""))))</f>
        <v/>
      </c>
      <c r="AI9">
        <f>IF(COUNTA($A9:$AA9)=0,"",COUNTIF($AB9:$AH9,TRUE))</f>
        <v/>
      </c>
      <c r="AJ9">
        <f>IF(COUNTA($A9:$AA9)=0,"",$AI9&gt;0)</f>
        <v/>
      </c>
    </row>
    <row r="10">
      <c r="A10" t="inlineStr">
        <is>
          <t>SUB-0009</t>
        </is>
      </c>
      <c r="B10" t="inlineStr">
        <is>
          <t>SYN-0009</t>
        </is>
      </c>
      <c r="C10" t="inlineStr">
        <is>
          <t>yes</t>
        </is>
      </c>
      <c r="D10" t="inlineStr">
        <is>
          <t>1.0.0</t>
        </is>
      </c>
      <c r="E10" t="inlineStr">
        <is>
          <t>ROUND_1</t>
        </is>
      </c>
      <c r="F10" s="6" t="n">
        <v>45859</v>
      </c>
      <c r="G10" s="6" t="n">
        <v>45814</v>
      </c>
      <c r="H10" t="inlineStr">
        <is>
          <t>SOUTH</t>
        </is>
      </c>
      <c r="I10" t="inlineStr">
        <is>
          <t>S02</t>
        </is>
      </c>
      <c r="J10" t="inlineStr">
        <is>
          <t>ENUM_04</t>
        </is>
      </c>
      <c r="K10" t="inlineStr">
        <is>
          <t>yes</t>
        </is>
      </c>
      <c r="L10" t="inlineStr">
        <is>
          <t>18_24</t>
        </is>
      </c>
      <c r="M10" t="inlineStr">
        <is>
          <t>woman</t>
        </is>
      </c>
      <c r="N10" t="n">
        <v>3</v>
      </c>
      <c r="O10" t="inlineStr">
        <is>
          <t>no</t>
        </is>
      </c>
      <c r="P10" t="inlineStr">
        <is>
          <t>yes</t>
        </is>
      </c>
      <c r="Q10" s="6" t="n">
        <v>45641</v>
      </c>
      <c r="R10" t="inlineStr">
        <is>
          <t>planning</t>
        </is>
      </c>
      <c r="S10" t="n">
        <v>4</v>
      </c>
      <c r="T10" t="n">
        <v>2</v>
      </c>
      <c r="U10" t="n">
        <v>4</v>
      </c>
      <c r="V10" t="inlineStr">
        <is>
          <t>yes</t>
        </is>
      </c>
      <c r="W10" t="n">
        <v>4</v>
      </c>
      <c r="X10" t="inlineStr">
        <is>
          <t>yes</t>
        </is>
      </c>
      <c r="Y10" t="inlineStr">
        <is>
          <t>community_meeting</t>
        </is>
      </c>
      <c r="AA10" t="n">
        <v>11.6</v>
      </c>
      <c r="AB10">
        <f>IF(COUNTA($A10:$AA10)=0,"",AND($K10="yes",OR((COUNTBLANK($E10:$J10)+COUNTBLANK($L10:$P10)+COUNTBLANK($W10:$X10)+COUNTBLANK($AA10))&gt;0,AND($P10="yes",(COUNTBLANK($Q10:$R10)+COUNTBLANK($S10:$V10))&gt;0),AND($X10="yes",$Y10=""))))</f>
        <v/>
      </c>
      <c r="AC10">
        <f>IF(COUNTA($A10:$AA10)=0,"",AND($B10&lt;&gt;"",COUNTIF($B$3:$B$33,$B10)&gt;1))</f>
        <v/>
      </c>
      <c r="AD10">
        <f>IF(COUNTA($A10:$AA10)=0,"",OR($C10&lt;&gt;"yes",AND($E10&lt;&gt;"",ISNA(MATCH($E10,ValidRounds,0))),AND($H10&lt;&gt;"",ISNA(MATCH($H10,ValidRegions,0))),AND($I10&lt;&gt;"",ISNA(MATCH($I10,ValidSites,0))),AND($J10&lt;&gt;"",ISNA(MATCH($J10,ValidEnumerators,0))),AND($K10&lt;&gt;"",ISNA(MATCH($K10,ValidYesNo,0))),AND($L10&lt;&gt;"",ISNA(MATCH($L10,ValidAgeGroups,0))),AND($M10&lt;&gt;"",ISNA(MATCH($M10,ValidGenders,0))),AND($O10&lt;&gt;"",ISNA(MATCH($O10,ValidYesNo,0))),AND($P10&lt;&gt;"",ISNA(MATCH($P10,ValidYesNo,0))),AND($R10&lt;&gt;"",ISNA(MATCH($R10,ValidTopics,0))),AND($V10&lt;&gt;"",ISNA(MATCH($V10,ValidYesNo,0))),AND($X10&lt;&gt;"",ISNA(MATCH($X10,ValidYesNo,0))),AND($Y10&lt;&gt;"",ISNA(MATCH($Y10,ValidChannels,0)))))</f>
        <v/>
      </c>
      <c r="AE10">
        <f>IF(COUNTA($A10:$AA10)=0,"",AND($K10="yes",OR(AND($F10&lt;&gt;"",OR($F10&lt;SurveyStart,$F10&gt;SurveyEnd)),AND($G10&lt;&gt;"",$F10&lt;&gt;"",$G10&gt;$F10),AND($P10="yes",$Q10&lt;&gt;"",$G10&lt;&gt;"",$Q10&lt;$G10),AND($P10="yes",$Q10&lt;&gt;"",$F10&lt;&gt;"",$Q10&gt;$F10))))</f>
        <v/>
      </c>
      <c r="AF10">
        <f>IF(COUNTA($A10:$AA10)=0,"",AND($K10="yes",OR(AND($N10&lt;&gt;"",OR($N10&lt;HouseholdMin,$N10&gt;HouseholdMax)),AND($S10&lt;&gt;"",OR($S10&lt;ScoreMin,$S10&gt;ScoreMax)),AND($T10&lt;&gt;"",OR($T10&lt;ScoreMin,$T10&gt;ScoreMax)),AND($U10&lt;&gt;"",OR($U10&lt;ScoreMin,$U10&gt;ScoreMax)),AND($W10&lt;&gt;"",OR($W10&lt;ScoreMin,$W10&gt;ScoreMax)),AND($AA10&lt;&gt;"",OR($AA10&lt;CompletionMin,$AA10&gt;CompletionMax)))))</f>
        <v/>
      </c>
      <c r="AG10">
        <f>IF(COUNTA($A10:$AA10)=0,"",AND($K10="yes",$H10&lt;&gt;"",$I10&lt;&gt;"",IFERROR(INDEX(SiteRegionList,MATCH($I10,SiteList,0)),"")&lt;&gt;$H10))</f>
        <v/>
      </c>
      <c r="AH10">
        <f>IF(COUNTA($A10:$AA10)=0,"",AND($K10="yes",OR(AND($P10="no",OR($Q10&lt;&gt;"",$R10&lt;&gt;"",$S10&lt;&gt;"",$T10&lt;&gt;"",$U10&lt;&gt;"",$V10&lt;&gt;"")),AND($X10="no",$Y10&lt;&gt;""))))</f>
        <v/>
      </c>
      <c r="AI10">
        <f>IF(COUNTA($A10:$AA10)=0,"",COUNTIF($AB10:$AH10,TRUE))</f>
        <v/>
      </c>
      <c r="AJ10">
        <f>IF(COUNTA($A10:$AA10)=0,"",$AI10&gt;0)</f>
        <v/>
      </c>
    </row>
    <row r="11">
      <c r="A11" t="inlineStr">
        <is>
          <t>SUB-0001</t>
        </is>
      </c>
      <c r="B11" t="inlineStr">
        <is>
          <t>SYN-0001</t>
        </is>
      </c>
      <c r="C11" t="inlineStr">
        <is>
          <t>yes</t>
        </is>
      </c>
      <c r="D11" t="inlineStr">
        <is>
          <t>1.0.0</t>
        </is>
      </c>
      <c r="E11" t="inlineStr">
        <is>
          <t>ROUND_2</t>
        </is>
      </c>
      <c r="F11" s="6" t="n">
        <v>45890</v>
      </c>
      <c r="G11" s="6" t="n">
        <v>45789</v>
      </c>
      <c r="H11" t="inlineStr">
        <is>
          <t>WEST</t>
        </is>
      </c>
      <c r="I11" t="inlineStr">
        <is>
          <t>W01</t>
        </is>
      </c>
      <c r="J11" t="inlineStr">
        <is>
          <t>ENUM_02</t>
        </is>
      </c>
      <c r="K11" t="inlineStr">
        <is>
          <t>yes</t>
        </is>
      </c>
      <c r="L11" t="inlineStr">
        <is>
          <t>18_24</t>
        </is>
      </c>
      <c r="M11" t="inlineStr">
        <is>
          <t>woman</t>
        </is>
      </c>
      <c r="N11" t="n">
        <v>7</v>
      </c>
      <c r="O11" t="inlineStr">
        <is>
          <t>no</t>
        </is>
      </c>
      <c r="P11" t="inlineStr">
        <is>
          <t>yes</t>
        </is>
      </c>
      <c r="Q11" s="6" t="n">
        <v>45866</v>
      </c>
      <c r="R11" t="inlineStr">
        <is>
          <t>financial_skills</t>
        </is>
      </c>
      <c r="S11" t="n">
        <v>4</v>
      </c>
      <c r="T11" t="n">
        <v>4</v>
      </c>
      <c r="U11" t="n">
        <v>5</v>
      </c>
      <c r="V11" t="inlineStr">
        <is>
          <t>no</t>
        </is>
      </c>
      <c r="W11" t="n">
        <v>3</v>
      </c>
      <c r="X11" t="inlineStr">
        <is>
          <t>no</t>
        </is>
      </c>
      <c r="AA11" t="n">
        <v>180</v>
      </c>
      <c r="AB11">
        <f>IF(COUNTA($A11:$AA11)=0,"",AND($K11="yes",OR((COUNTBLANK($E11:$J11)+COUNTBLANK($L11:$P11)+COUNTBLANK($W11:$X11)+COUNTBLANK($AA11))&gt;0,AND($P11="yes",(COUNTBLANK($Q11:$R11)+COUNTBLANK($S11:$V11))&gt;0),AND($X11="yes",$Y11=""))))</f>
        <v/>
      </c>
      <c r="AC11">
        <f>IF(COUNTA($A11:$AA11)=0,"",AND($B11&lt;&gt;"",COUNTIF($B$3:$B$33,$B11)&gt;1))</f>
        <v/>
      </c>
      <c r="AD11">
        <f>IF(COUNTA($A11:$AA11)=0,"",OR($C11&lt;&gt;"yes",AND($E11&lt;&gt;"",ISNA(MATCH($E11,ValidRounds,0))),AND($H11&lt;&gt;"",ISNA(MATCH($H11,ValidRegions,0))),AND($I11&lt;&gt;"",ISNA(MATCH($I11,ValidSites,0))),AND($J11&lt;&gt;"",ISNA(MATCH($J11,ValidEnumerators,0))),AND($K11&lt;&gt;"",ISNA(MATCH($K11,ValidYesNo,0))),AND($L11&lt;&gt;"",ISNA(MATCH($L11,ValidAgeGroups,0))),AND($M11&lt;&gt;"",ISNA(MATCH($M11,ValidGenders,0))),AND($O11&lt;&gt;"",ISNA(MATCH($O11,ValidYesNo,0))),AND($P11&lt;&gt;"",ISNA(MATCH($P11,ValidYesNo,0))),AND($R11&lt;&gt;"",ISNA(MATCH($R11,ValidTopics,0))),AND($V11&lt;&gt;"",ISNA(MATCH($V11,ValidYesNo,0))),AND($X11&lt;&gt;"",ISNA(MATCH($X11,ValidYesNo,0))),AND($Y11&lt;&gt;"",ISNA(MATCH($Y11,ValidChannels,0)))))</f>
        <v/>
      </c>
      <c r="AE11">
        <f>IF(COUNTA($A11:$AA11)=0,"",AND($K11="yes",OR(AND($F11&lt;&gt;"",OR($F11&lt;SurveyStart,$F11&gt;SurveyEnd)),AND($G11&lt;&gt;"",$F11&lt;&gt;"",$G11&gt;$F11),AND($P11="yes",$Q11&lt;&gt;"",$G11&lt;&gt;"",$Q11&lt;$G11),AND($P11="yes",$Q11&lt;&gt;"",$F11&lt;&gt;"",$Q11&gt;$F11))))</f>
        <v/>
      </c>
      <c r="AF11">
        <f>IF(COUNTA($A11:$AA11)=0,"",AND($K11="yes",OR(AND($N11&lt;&gt;"",OR($N11&lt;HouseholdMin,$N11&gt;HouseholdMax)),AND($S11&lt;&gt;"",OR($S11&lt;ScoreMin,$S11&gt;ScoreMax)),AND($T11&lt;&gt;"",OR($T11&lt;ScoreMin,$T11&gt;ScoreMax)),AND($U11&lt;&gt;"",OR($U11&lt;ScoreMin,$U11&gt;ScoreMax)),AND($W11&lt;&gt;"",OR($W11&lt;ScoreMin,$W11&gt;ScoreMax)),AND($AA11&lt;&gt;"",OR($AA11&lt;CompletionMin,$AA11&gt;CompletionMax)))))</f>
        <v/>
      </c>
      <c r="AG11">
        <f>IF(COUNTA($A11:$AA11)=0,"",AND($K11="yes",$H11&lt;&gt;"",$I11&lt;&gt;"",IFERROR(INDEX(SiteRegionList,MATCH($I11,SiteList,0)),"")&lt;&gt;$H11))</f>
        <v/>
      </c>
      <c r="AH11">
        <f>IF(COUNTA($A11:$AA11)=0,"",AND($K11="yes",OR(AND($P11="no",OR($Q11&lt;&gt;"",$R11&lt;&gt;"",$S11&lt;&gt;"",$T11&lt;&gt;"",$U11&lt;&gt;"",$V11&lt;&gt;"")),AND($X11="no",$Y11&lt;&gt;""))))</f>
        <v/>
      </c>
      <c r="AI11">
        <f>IF(COUNTA($A11:$AA11)=0,"",COUNTIF($AB11:$AH11,TRUE))</f>
        <v/>
      </c>
      <c r="AJ11">
        <f>IF(COUNTA($A11:$AA11)=0,"",$AI11&gt;0)</f>
        <v/>
      </c>
    </row>
    <row r="12">
      <c r="A12" t="inlineStr">
        <is>
          <t>SUB-0197</t>
        </is>
      </c>
      <c r="B12" t="inlineStr">
        <is>
          <t>SYN-0197</t>
        </is>
      </c>
      <c r="C12" t="inlineStr">
        <is>
          <t>yes</t>
        </is>
      </c>
      <c r="D12" t="inlineStr">
        <is>
          <t>1.0.0</t>
        </is>
      </c>
      <c r="E12" t="inlineStr">
        <is>
          <t>ROUND_2</t>
        </is>
      </c>
      <c r="F12" s="6" t="n">
        <v>45925</v>
      </c>
      <c r="G12" s="6" t="n">
        <v>45832</v>
      </c>
      <c r="H12" t="inlineStr">
        <is>
          <t>SOUTH</t>
        </is>
      </c>
      <c r="I12" t="inlineStr">
        <is>
          <t>E01</t>
        </is>
      </c>
      <c r="J12" t="inlineStr">
        <is>
          <t>ENUM_01</t>
        </is>
      </c>
      <c r="K12" t="inlineStr">
        <is>
          <t>yes</t>
        </is>
      </c>
      <c r="L12" t="inlineStr">
        <is>
          <t>25_34</t>
        </is>
      </c>
      <c r="M12" t="inlineStr">
        <is>
          <t>woman</t>
        </is>
      </c>
      <c r="N12" t="n">
        <v>3</v>
      </c>
      <c r="O12" t="inlineStr">
        <is>
          <t>yes</t>
        </is>
      </c>
      <c r="P12" t="inlineStr">
        <is>
          <t>yes</t>
        </is>
      </c>
      <c r="Q12" s="6" t="n">
        <v>45905</v>
      </c>
      <c r="R12" t="inlineStr">
        <is>
          <t>digital_skills</t>
        </is>
      </c>
      <c r="S12" t="n">
        <v>3</v>
      </c>
      <c r="T12" t="n">
        <v>2</v>
      </c>
      <c r="U12" t="n">
        <v>3</v>
      </c>
      <c r="V12" t="inlineStr">
        <is>
          <t>yes</t>
        </is>
      </c>
      <c r="W12" t="n">
        <v>3</v>
      </c>
      <c r="X12" t="inlineStr">
        <is>
          <t>no</t>
        </is>
      </c>
      <c r="AA12" t="n">
        <v>22.6</v>
      </c>
      <c r="AB12">
        <f>IF(COUNTA($A12:$AA12)=0,"",AND($K12="yes",OR((COUNTBLANK($E12:$J12)+COUNTBLANK($L12:$P12)+COUNTBLANK($W12:$X12)+COUNTBLANK($AA12))&gt;0,AND($P12="yes",(COUNTBLANK($Q12:$R12)+COUNTBLANK($S12:$V12))&gt;0),AND($X12="yes",$Y12=""))))</f>
        <v/>
      </c>
      <c r="AC12">
        <f>IF(COUNTA($A12:$AA12)=0,"",AND($B12&lt;&gt;"",COUNTIF($B$3:$B$33,$B12)&gt;1))</f>
        <v/>
      </c>
      <c r="AD12">
        <f>IF(COUNTA($A12:$AA12)=0,"",OR($C12&lt;&gt;"yes",AND($E12&lt;&gt;"",ISNA(MATCH($E12,ValidRounds,0))),AND($H12&lt;&gt;"",ISNA(MATCH($H12,ValidRegions,0))),AND($I12&lt;&gt;"",ISNA(MATCH($I12,ValidSites,0))),AND($J12&lt;&gt;"",ISNA(MATCH($J12,ValidEnumerators,0))),AND($K12&lt;&gt;"",ISNA(MATCH($K12,ValidYesNo,0))),AND($L12&lt;&gt;"",ISNA(MATCH($L12,ValidAgeGroups,0))),AND($M12&lt;&gt;"",ISNA(MATCH($M12,ValidGenders,0))),AND($O12&lt;&gt;"",ISNA(MATCH($O12,ValidYesNo,0))),AND($P12&lt;&gt;"",ISNA(MATCH($P12,ValidYesNo,0))),AND($R12&lt;&gt;"",ISNA(MATCH($R12,ValidTopics,0))),AND($V12&lt;&gt;"",ISNA(MATCH($V12,ValidYesNo,0))),AND($X12&lt;&gt;"",ISNA(MATCH($X12,ValidYesNo,0))),AND($Y12&lt;&gt;"",ISNA(MATCH($Y12,ValidChannels,0)))))</f>
        <v/>
      </c>
      <c r="AE12">
        <f>IF(COUNTA($A12:$AA12)=0,"",AND($K12="yes",OR(AND($F12&lt;&gt;"",OR($F12&lt;SurveyStart,$F12&gt;SurveyEnd)),AND($G12&lt;&gt;"",$F12&lt;&gt;"",$G12&gt;$F12),AND($P12="yes",$Q12&lt;&gt;"",$G12&lt;&gt;"",$Q12&lt;$G12),AND($P12="yes",$Q12&lt;&gt;"",$F12&lt;&gt;"",$Q12&gt;$F12))))</f>
        <v/>
      </c>
      <c r="AF12">
        <f>IF(COUNTA($A12:$AA12)=0,"",AND($K12="yes",OR(AND($N12&lt;&gt;"",OR($N12&lt;HouseholdMin,$N12&gt;HouseholdMax)),AND($S12&lt;&gt;"",OR($S12&lt;ScoreMin,$S12&gt;ScoreMax)),AND($T12&lt;&gt;"",OR($T12&lt;ScoreMin,$T12&gt;ScoreMax)),AND($U12&lt;&gt;"",OR($U12&lt;ScoreMin,$U12&gt;ScoreMax)),AND($W12&lt;&gt;"",OR($W12&lt;ScoreMin,$W12&gt;ScoreMax)),AND($AA12&lt;&gt;"",OR($AA12&lt;CompletionMin,$AA12&gt;CompletionMax)))))</f>
        <v/>
      </c>
      <c r="AG12">
        <f>IF(COUNTA($A12:$AA12)=0,"",AND($K12="yes",$H12&lt;&gt;"",$I12&lt;&gt;"",IFERROR(INDEX(SiteRegionList,MATCH($I12,SiteList,0)),"")&lt;&gt;$H12))</f>
        <v/>
      </c>
      <c r="AH12">
        <f>IF(COUNTA($A12:$AA12)=0,"",AND($K12="yes",OR(AND($P12="no",OR($Q12&lt;&gt;"",$R12&lt;&gt;"",$S12&lt;&gt;"",$T12&lt;&gt;"",$U12&lt;&gt;"",$V12&lt;&gt;"")),AND($X12="no",$Y12&lt;&gt;""))))</f>
        <v/>
      </c>
      <c r="AI12">
        <f>IF(COUNTA($A12:$AA12)=0,"",COUNTIF($AB12:$AH12,TRUE))</f>
        <v/>
      </c>
      <c r="AJ12">
        <f>IF(COUNTA($A12:$AA12)=0,"",$AI12&gt;0)</f>
        <v/>
      </c>
    </row>
    <row r="13">
      <c r="A13" t="inlineStr">
        <is>
          <t>SUB-0033</t>
        </is>
      </c>
      <c r="B13" t="inlineStr">
        <is>
          <t>SYN-0033</t>
        </is>
      </c>
      <c r="C13" t="inlineStr">
        <is>
          <t>yes</t>
        </is>
      </c>
      <c r="D13" t="inlineStr">
        <is>
          <t>1.0.0</t>
        </is>
      </c>
      <c r="E13" t="inlineStr">
        <is>
          <t>ROUND_2</t>
        </is>
      </c>
      <c r="F13" s="6" t="n">
        <v>45781</v>
      </c>
      <c r="G13" s="6" t="n">
        <v>45673</v>
      </c>
      <c r="H13" t="inlineStr">
        <is>
          <t>WEST</t>
        </is>
      </c>
      <c r="I13" t="inlineStr">
        <is>
          <t>W03</t>
        </is>
      </c>
      <c r="J13" t="inlineStr">
        <is>
          <t>ENUM_05</t>
        </is>
      </c>
      <c r="K13" t="inlineStr">
        <is>
          <t>yes</t>
        </is>
      </c>
      <c r="L13" t="inlineStr">
        <is>
          <t>25_34</t>
        </is>
      </c>
      <c r="M13" t="inlineStr">
        <is>
          <t>woman</t>
        </is>
      </c>
      <c r="N13" t="n">
        <v>4</v>
      </c>
      <c r="O13" t="inlineStr">
        <is>
          <t>yes</t>
        </is>
      </c>
      <c r="P13" t="inlineStr">
        <is>
          <t>no</t>
        </is>
      </c>
      <c r="Q13" s="6" t="n">
        <v>45781</v>
      </c>
      <c r="R13" t="inlineStr">
        <is>
          <t>digital_skills</t>
        </is>
      </c>
      <c r="S13" t="n">
        <v>4</v>
      </c>
      <c r="T13" t="n">
        <v>2</v>
      </c>
      <c r="U13" t="n">
        <v>4</v>
      </c>
      <c r="V13" t="inlineStr">
        <is>
          <t>yes</t>
        </is>
      </c>
      <c r="W13" t="n">
        <v>2</v>
      </c>
      <c r="X13" t="inlineStr">
        <is>
          <t>no</t>
        </is>
      </c>
      <c r="AA13" t="n">
        <v>17.5</v>
      </c>
      <c r="AB13">
        <f>IF(COUNTA($A13:$AA13)=0,"",AND($K13="yes",OR((COUNTBLANK($E13:$J13)+COUNTBLANK($L13:$P13)+COUNTBLANK($W13:$X13)+COUNTBLANK($AA13))&gt;0,AND($P13="yes",(COUNTBLANK($Q13:$R13)+COUNTBLANK($S13:$V13))&gt;0),AND($X13="yes",$Y13=""))))</f>
        <v/>
      </c>
      <c r="AC13">
        <f>IF(COUNTA($A13:$AA13)=0,"",AND($B13&lt;&gt;"",COUNTIF($B$3:$B$33,$B13)&gt;1))</f>
        <v/>
      </c>
      <c r="AD13">
        <f>IF(COUNTA($A13:$AA13)=0,"",OR($C13&lt;&gt;"yes",AND($E13&lt;&gt;"",ISNA(MATCH($E13,ValidRounds,0))),AND($H13&lt;&gt;"",ISNA(MATCH($H13,ValidRegions,0))),AND($I13&lt;&gt;"",ISNA(MATCH($I13,ValidSites,0))),AND($J13&lt;&gt;"",ISNA(MATCH($J13,ValidEnumerators,0))),AND($K13&lt;&gt;"",ISNA(MATCH($K13,ValidYesNo,0))),AND($L13&lt;&gt;"",ISNA(MATCH($L13,ValidAgeGroups,0))),AND($M13&lt;&gt;"",ISNA(MATCH($M13,ValidGenders,0))),AND($O13&lt;&gt;"",ISNA(MATCH($O13,ValidYesNo,0))),AND($P13&lt;&gt;"",ISNA(MATCH($P13,ValidYesNo,0))),AND($R13&lt;&gt;"",ISNA(MATCH($R13,ValidTopics,0))),AND($V13&lt;&gt;"",ISNA(MATCH($V13,ValidYesNo,0))),AND($X13&lt;&gt;"",ISNA(MATCH($X13,ValidYesNo,0))),AND($Y13&lt;&gt;"",ISNA(MATCH($Y13,ValidChannels,0)))))</f>
        <v/>
      </c>
      <c r="AE13">
        <f>IF(COUNTA($A13:$AA13)=0,"",AND($K13="yes",OR(AND($F13&lt;&gt;"",OR($F13&lt;SurveyStart,$F13&gt;SurveyEnd)),AND($G13&lt;&gt;"",$F13&lt;&gt;"",$G13&gt;$F13),AND($P13="yes",$Q13&lt;&gt;"",$G13&lt;&gt;"",$Q13&lt;$G13),AND($P13="yes",$Q13&lt;&gt;"",$F13&lt;&gt;"",$Q13&gt;$F13))))</f>
        <v/>
      </c>
      <c r="AF13">
        <f>IF(COUNTA($A13:$AA13)=0,"",AND($K13="yes",OR(AND($N13&lt;&gt;"",OR($N13&lt;HouseholdMin,$N13&gt;HouseholdMax)),AND($S13&lt;&gt;"",OR($S13&lt;ScoreMin,$S13&gt;ScoreMax)),AND($T13&lt;&gt;"",OR($T13&lt;ScoreMin,$T13&gt;ScoreMax)),AND($U13&lt;&gt;"",OR($U13&lt;ScoreMin,$U13&gt;ScoreMax)),AND($W13&lt;&gt;"",OR($W13&lt;ScoreMin,$W13&gt;ScoreMax)),AND($AA13&lt;&gt;"",OR($AA13&lt;CompletionMin,$AA13&gt;CompletionMax)))))</f>
        <v/>
      </c>
      <c r="AG13">
        <f>IF(COUNTA($A13:$AA13)=0,"",AND($K13="yes",$H13&lt;&gt;"",$I13&lt;&gt;"",IFERROR(INDEX(SiteRegionList,MATCH($I13,SiteList,0)),"")&lt;&gt;$H13))</f>
        <v/>
      </c>
      <c r="AH13">
        <f>IF(COUNTA($A13:$AA13)=0,"",AND($K13="yes",OR(AND($P13="no",OR($Q13&lt;&gt;"",$R13&lt;&gt;"",$S13&lt;&gt;"",$T13&lt;&gt;"",$U13&lt;&gt;"",$V13&lt;&gt;"")),AND($X13="no",$Y13&lt;&gt;""))))</f>
        <v/>
      </c>
      <c r="AI13">
        <f>IF(COUNTA($A13:$AA13)=0,"",COUNTIF($AB13:$AH13,TRUE))</f>
        <v/>
      </c>
      <c r="AJ13">
        <f>IF(COUNTA($A13:$AA13)=0,"",$AI13&gt;0)</f>
        <v/>
      </c>
    </row>
    <row r="14">
      <c r="AB14">
        <f>IF(COUNTA($A14:$AA14)=0,"",AND($K14="yes",OR((COUNTBLANK($E14:$J14)+COUNTBLANK($L14:$P14)+COUNTBLANK($W14:$X14)+COUNTBLANK($AA14))&gt;0,AND($P14="yes",(COUNTBLANK($Q14:$R14)+COUNTBLANK($S14:$V14))&gt;0),AND($X14="yes",$Y14=""))))</f>
        <v/>
      </c>
      <c r="AC14">
        <f>IF(COUNTA($A14:$AA14)=0,"",AND($B14&lt;&gt;"",COUNTIF($B$3:$B$33,$B14)&gt;1))</f>
        <v/>
      </c>
      <c r="AD14">
        <f>IF(COUNTA($A14:$AA14)=0,"",OR($C14&lt;&gt;"yes",AND($E14&lt;&gt;"",ISNA(MATCH($E14,ValidRounds,0))),AND($H14&lt;&gt;"",ISNA(MATCH($H14,ValidRegions,0))),AND($I14&lt;&gt;"",ISNA(MATCH($I14,ValidSites,0))),AND($J14&lt;&gt;"",ISNA(MATCH($J14,ValidEnumerators,0))),AND($K14&lt;&gt;"",ISNA(MATCH($K14,ValidYesNo,0))),AND($L14&lt;&gt;"",ISNA(MATCH($L14,ValidAgeGroups,0))),AND($M14&lt;&gt;"",ISNA(MATCH($M14,ValidGenders,0))),AND($O14&lt;&gt;"",ISNA(MATCH($O14,ValidYesNo,0))),AND($P14&lt;&gt;"",ISNA(MATCH($P14,ValidYesNo,0))),AND($R14&lt;&gt;"",ISNA(MATCH($R14,ValidTopics,0))),AND($V14&lt;&gt;"",ISNA(MATCH($V14,ValidYesNo,0))),AND($X14&lt;&gt;"",ISNA(MATCH($X14,ValidYesNo,0))),AND($Y14&lt;&gt;"",ISNA(MATCH($Y14,ValidChannels,0)))))</f>
        <v/>
      </c>
      <c r="AE14">
        <f>IF(COUNTA($A14:$AA14)=0,"",AND($K14="yes",OR(AND($F14&lt;&gt;"",OR($F14&lt;SurveyStart,$F14&gt;SurveyEnd)),AND($G14&lt;&gt;"",$F14&lt;&gt;"",$G14&gt;$F14),AND($P14="yes",$Q14&lt;&gt;"",$G14&lt;&gt;"",$Q14&lt;$G14),AND($P14="yes",$Q14&lt;&gt;"",$F14&lt;&gt;"",$Q14&gt;$F14))))</f>
        <v/>
      </c>
      <c r="AF14">
        <f>IF(COUNTA($A14:$AA14)=0,"",AND($K14="yes",OR(AND($N14&lt;&gt;"",OR($N14&lt;HouseholdMin,$N14&gt;HouseholdMax)),AND($S14&lt;&gt;"",OR($S14&lt;ScoreMin,$S14&gt;ScoreMax)),AND($T14&lt;&gt;"",OR($T14&lt;ScoreMin,$T14&gt;ScoreMax)),AND($U14&lt;&gt;"",OR($U14&lt;ScoreMin,$U14&gt;ScoreMax)),AND($W14&lt;&gt;"",OR($W14&lt;ScoreMin,$W14&gt;ScoreMax)),AND($AA14&lt;&gt;"",OR($AA14&lt;CompletionMin,$AA14&gt;CompletionMax)))))</f>
        <v/>
      </c>
      <c r="AG14">
        <f>IF(COUNTA($A14:$AA14)=0,"",AND($K14="yes",$H14&lt;&gt;"",$I14&lt;&gt;"",IFERROR(INDEX(SiteRegionList,MATCH($I14,SiteList,0)),"")&lt;&gt;$H14))</f>
        <v/>
      </c>
      <c r="AH14">
        <f>IF(COUNTA($A14:$AA14)=0,"",AND($K14="yes",OR(AND($P14="no",OR($Q14&lt;&gt;"",$R14&lt;&gt;"",$S14&lt;&gt;"",$T14&lt;&gt;"",$U14&lt;&gt;"",$V14&lt;&gt;"")),AND($X14="no",$Y14&lt;&gt;""))))</f>
        <v/>
      </c>
      <c r="AI14">
        <f>IF(COUNTA($A14:$AA14)=0,"",COUNTIF($AB14:$AH14,TRUE))</f>
        <v/>
      </c>
      <c r="AJ14">
        <f>IF(COUNTA($A14:$AA14)=0,"",$AI14&gt;0)</f>
        <v/>
      </c>
    </row>
    <row r="15">
      <c r="AB15">
        <f>IF(COUNTA($A15:$AA15)=0,"",AND($K15="yes",OR((COUNTBLANK($E15:$J15)+COUNTBLANK($L15:$P15)+COUNTBLANK($W15:$X15)+COUNTBLANK($AA15))&gt;0,AND($P15="yes",(COUNTBLANK($Q15:$R15)+COUNTBLANK($S15:$V15))&gt;0),AND($X15="yes",$Y15=""))))</f>
        <v/>
      </c>
      <c r="AC15">
        <f>IF(COUNTA($A15:$AA15)=0,"",AND($B15&lt;&gt;"",COUNTIF($B$3:$B$33,$B15)&gt;1))</f>
        <v/>
      </c>
      <c r="AD15">
        <f>IF(COUNTA($A15:$AA15)=0,"",OR($C15&lt;&gt;"yes",AND($E15&lt;&gt;"",ISNA(MATCH($E15,ValidRounds,0))),AND($H15&lt;&gt;"",ISNA(MATCH($H15,ValidRegions,0))),AND($I15&lt;&gt;"",ISNA(MATCH($I15,ValidSites,0))),AND($J15&lt;&gt;"",ISNA(MATCH($J15,ValidEnumerators,0))),AND($K15&lt;&gt;"",ISNA(MATCH($K15,ValidYesNo,0))),AND($L15&lt;&gt;"",ISNA(MATCH($L15,ValidAgeGroups,0))),AND($M15&lt;&gt;"",ISNA(MATCH($M15,ValidGenders,0))),AND($O15&lt;&gt;"",ISNA(MATCH($O15,ValidYesNo,0))),AND($P15&lt;&gt;"",ISNA(MATCH($P15,ValidYesNo,0))),AND($R15&lt;&gt;"",ISNA(MATCH($R15,ValidTopics,0))),AND($V15&lt;&gt;"",ISNA(MATCH($V15,ValidYesNo,0))),AND($X15&lt;&gt;"",ISNA(MATCH($X15,ValidYesNo,0))),AND($Y15&lt;&gt;"",ISNA(MATCH($Y15,ValidChannels,0)))))</f>
        <v/>
      </c>
      <c r="AE15">
        <f>IF(COUNTA($A15:$AA15)=0,"",AND($K15="yes",OR(AND($F15&lt;&gt;"",OR($F15&lt;SurveyStart,$F15&gt;SurveyEnd)),AND($G15&lt;&gt;"",$F15&lt;&gt;"",$G15&gt;$F15),AND($P15="yes",$Q15&lt;&gt;"",$G15&lt;&gt;"",$Q15&lt;$G15),AND($P15="yes",$Q15&lt;&gt;"",$F15&lt;&gt;"",$Q15&gt;$F15))))</f>
        <v/>
      </c>
      <c r="AF15">
        <f>IF(COUNTA($A15:$AA15)=0,"",AND($K15="yes",OR(AND($N15&lt;&gt;"",OR($N15&lt;HouseholdMin,$N15&gt;HouseholdMax)),AND($S15&lt;&gt;"",OR($S15&lt;ScoreMin,$S15&gt;ScoreMax)),AND($T15&lt;&gt;"",OR($T15&lt;ScoreMin,$T15&gt;ScoreMax)),AND($U15&lt;&gt;"",OR($U15&lt;ScoreMin,$U15&gt;ScoreMax)),AND($W15&lt;&gt;"",OR($W15&lt;ScoreMin,$W15&gt;ScoreMax)),AND($AA15&lt;&gt;"",OR($AA15&lt;CompletionMin,$AA15&gt;CompletionMax)))))</f>
        <v/>
      </c>
      <c r="AG15">
        <f>IF(COUNTA($A15:$AA15)=0,"",AND($K15="yes",$H15&lt;&gt;"",$I15&lt;&gt;"",IFERROR(INDEX(SiteRegionList,MATCH($I15,SiteList,0)),"")&lt;&gt;$H15))</f>
        <v/>
      </c>
      <c r="AH15">
        <f>IF(COUNTA($A15:$AA15)=0,"",AND($K15="yes",OR(AND($P15="no",OR($Q15&lt;&gt;"",$R15&lt;&gt;"",$S15&lt;&gt;"",$T15&lt;&gt;"",$U15&lt;&gt;"",$V15&lt;&gt;"")),AND($X15="no",$Y15&lt;&gt;""))))</f>
        <v/>
      </c>
      <c r="AI15">
        <f>IF(COUNTA($A15:$AA15)=0,"",COUNTIF($AB15:$AH15,TRUE))</f>
        <v/>
      </c>
      <c r="AJ15">
        <f>IF(COUNTA($A15:$AA15)=0,"",$AI15&gt;0)</f>
        <v/>
      </c>
    </row>
    <row r="16">
      <c r="AB16">
        <f>IF(COUNTA($A16:$AA16)=0,"",AND($K16="yes",OR((COUNTBLANK($E16:$J16)+COUNTBLANK($L16:$P16)+COUNTBLANK($W16:$X16)+COUNTBLANK($AA16))&gt;0,AND($P16="yes",(COUNTBLANK($Q16:$R16)+COUNTBLANK($S16:$V16))&gt;0),AND($X16="yes",$Y16=""))))</f>
        <v/>
      </c>
      <c r="AC16">
        <f>IF(COUNTA($A16:$AA16)=0,"",AND($B16&lt;&gt;"",COUNTIF($B$3:$B$33,$B16)&gt;1))</f>
        <v/>
      </c>
      <c r="AD16">
        <f>IF(COUNTA($A16:$AA16)=0,"",OR($C16&lt;&gt;"yes",AND($E16&lt;&gt;"",ISNA(MATCH($E16,ValidRounds,0))),AND($H16&lt;&gt;"",ISNA(MATCH($H16,ValidRegions,0))),AND($I16&lt;&gt;"",ISNA(MATCH($I16,ValidSites,0))),AND($J16&lt;&gt;"",ISNA(MATCH($J16,ValidEnumerators,0))),AND($K16&lt;&gt;"",ISNA(MATCH($K16,ValidYesNo,0))),AND($L16&lt;&gt;"",ISNA(MATCH($L16,ValidAgeGroups,0))),AND($M16&lt;&gt;"",ISNA(MATCH($M16,ValidGenders,0))),AND($O16&lt;&gt;"",ISNA(MATCH($O16,ValidYesNo,0))),AND($P16&lt;&gt;"",ISNA(MATCH($P16,ValidYesNo,0))),AND($R16&lt;&gt;"",ISNA(MATCH($R16,ValidTopics,0))),AND($V16&lt;&gt;"",ISNA(MATCH($V16,ValidYesNo,0))),AND($X16&lt;&gt;"",ISNA(MATCH($X16,ValidYesNo,0))),AND($Y16&lt;&gt;"",ISNA(MATCH($Y16,ValidChannels,0)))))</f>
        <v/>
      </c>
      <c r="AE16">
        <f>IF(COUNTA($A16:$AA16)=0,"",AND($K16="yes",OR(AND($F16&lt;&gt;"",OR($F16&lt;SurveyStart,$F16&gt;SurveyEnd)),AND($G16&lt;&gt;"",$F16&lt;&gt;"",$G16&gt;$F16),AND($P16="yes",$Q16&lt;&gt;"",$G16&lt;&gt;"",$Q16&lt;$G16),AND($P16="yes",$Q16&lt;&gt;"",$F16&lt;&gt;"",$Q16&gt;$F16))))</f>
        <v/>
      </c>
      <c r="AF16">
        <f>IF(COUNTA($A16:$AA16)=0,"",AND($K16="yes",OR(AND($N16&lt;&gt;"",OR($N16&lt;HouseholdMin,$N16&gt;HouseholdMax)),AND($S16&lt;&gt;"",OR($S16&lt;ScoreMin,$S16&gt;ScoreMax)),AND($T16&lt;&gt;"",OR($T16&lt;ScoreMin,$T16&gt;ScoreMax)),AND($U16&lt;&gt;"",OR($U16&lt;ScoreMin,$U16&gt;ScoreMax)),AND($W16&lt;&gt;"",OR($W16&lt;ScoreMin,$W16&gt;ScoreMax)),AND($AA16&lt;&gt;"",OR($AA16&lt;CompletionMin,$AA16&gt;CompletionMax)))))</f>
        <v/>
      </c>
      <c r="AG16">
        <f>IF(COUNTA($A16:$AA16)=0,"",AND($K16="yes",$H16&lt;&gt;"",$I16&lt;&gt;"",IFERROR(INDEX(SiteRegionList,MATCH($I16,SiteList,0)),"")&lt;&gt;$H16))</f>
        <v/>
      </c>
      <c r="AH16">
        <f>IF(COUNTA($A16:$AA16)=0,"",AND($K16="yes",OR(AND($P16="no",OR($Q16&lt;&gt;"",$R16&lt;&gt;"",$S16&lt;&gt;"",$T16&lt;&gt;"",$U16&lt;&gt;"",$V16&lt;&gt;"")),AND($X16="no",$Y16&lt;&gt;""))))</f>
        <v/>
      </c>
      <c r="AI16">
        <f>IF(COUNTA($A16:$AA16)=0,"",COUNTIF($AB16:$AH16,TRUE))</f>
        <v/>
      </c>
      <c r="AJ16">
        <f>IF(COUNTA($A16:$AA16)=0,"",$AI16&gt;0)</f>
        <v/>
      </c>
    </row>
    <row r="17">
      <c r="AB17">
        <f>IF(COUNTA($A17:$AA17)=0,"",AND($K17="yes",OR((COUNTBLANK($E17:$J17)+COUNTBLANK($L17:$P17)+COUNTBLANK($W17:$X17)+COUNTBLANK($AA17))&gt;0,AND($P17="yes",(COUNTBLANK($Q17:$R17)+COUNTBLANK($S17:$V17))&gt;0),AND($X17="yes",$Y17=""))))</f>
        <v/>
      </c>
      <c r="AC17">
        <f>IF(COUNTA($A17:$AA17)=0,"",AND($B17&lt;&gt;"",COUNTIF($B$3:$B$33,$B17)&gt;1))</f>
        <v/>
      </c>
      <c r="AD17">
        <f>IF(COUNTA($A17:$AA17)=0,"",OR($C17&lt;&gt;"yes",AND($E17&lt;&gt;"",ISNA(MATCH($E17,ValidRounds,0))),AND($H17&lt;&gt;"",ISNA(MATCH($H17,ValidRegions,0))),AND($I17&lt;&gt;"",ISNA(MATCH($I17,ValidSites,0))),AND($J17&lt;&gt;"",ISNA(MATCH($J17,ValidEnumerators,0))),AND($K17&lt;&gt;"",ISNA(MATCH($K17,ValidYesNo,0))),AND($L17&lt;&gt;"",ISNA(MATCH($L17,ValidAgeGroups,0))),AND($M17&lt;&gt;"",ISNA(MATCH($M17,ValidGenders,0))),AND($O17&lt;&gt;"",ISNA(MATCH($O17,ValidYesNo,0))),AND($P17&lt;&gt;"",ISNA(MATCH($P17,ValidYesNo,0))),AND($R17&lt;&gt;"",ISNA(MATCH($R17,ValidTopics,0))),AND($V17&lt;&gt;"",ISNA(MATCH($V17,ValidYesNo,0))),AND($X17&lt;&gt;"",ISNA(MATCH($X17,ValidYesNo,0))),AND($Y17&lt;&gt;"",ISNA(MATCH($Y17,ValidChannels,0)))))</f>
        <v/>
      </c>
      <c r="AE17">
        <f>IF(COUNTA($A17:$AA17)=0,"",AND($K17="yes",OR(AND($F17&lt;&gt;"",OR($F17&lt;SurveyStart,$F17&gt;SurveyEnd)),AND($G17&lt;&gt;"",$F17&lt;&gt;"",$G17&gt;$F17),AND($P17="yes",$Q17&lt;&gt;"",$G17&lt;&gt;"",$Q17&lt;$G17),AND($P17="yes",$Q17&lt;&gt;"",$F17&lt;&gt;"",$Q17&gt;$F17))))</f>
        <v/>
      </c>
      <c r="AF17">
        <f>IF(COUNTA($A17:$AA17)=0,"",AND($K17="yes",OR(AND($N17&lt;&gt;"",OR($N17&lt;HouseholdMin,$N17&gt;HouseholdMax)),AND($S17&lt;&gt;"",OR($S17&lt;ScoreMin,$S17&gt;ScoreMax)),AND($T17&lt;&gt;"",OR($T17&lt;ScoreMin,$T17&gt;ScoreMax)),AND($U17&lt;&gt;"",OR($U17&lt;ScoreMin,$U17&gt;ScoreMax)),AND($W17&lt;&gt;"",OR($W17&lt;ScoreMin,$W17&gt;ScoreMax)),AND($AA17&lt;&gt;"",OR($AA17&lt;CompletionMin,$AA17&gt;CompletionMax)))))</f>
        <v/>
      </c>
      <c r="AG17">
        <f>IF(COUNTA($A17:$AA17)=0,"",AND($K17="yes",$H17&lt;&gt;"",$I17&lt;&gt;"",IFERROR(INDEX(SiteRegionList,MATCH($I17,SiteList,0)),"")&lt;&gt;$H17))</f>
        <v/>
      </c>
      <c r="AH17">
        <f>IF(COUNTA($A17:$AA17)=0,"",AND($K17="yes",OR(AND($P17="no",OR($Q17&lt;&gt;"",$R17&lt;&gt;"",$S17&lt;&gt;"",$T17&lt;&gt;"",$U17&lt;&gt;"",$V17&lt;&gt;"")),AND($X17="no",$Y17&lt;&gt;""))))</f>
        <v/>
      </c>
      <c r="AI17">
        <f>IF(COUNTA($A17:$AA17)=0,"",COUNTIF($AB17:$AH17,TRUE))</f>
        <v/>
      </c>
      <c r="AJ17">
        <f>IF(COUNTA($A17:$AA17)=0,"",$AI17&gt;0)</f>
        <v/>
      </c>
    </row>
    <row r="18">
      <c r="AB18">
        <f>IF(COUNTA($A18:$AA18)=0,"",AND($K18="yes",OR((COUNTBLANK($E18:$J18)+COUNTBLANK($L18:$P18)+COUNTBLANK($W18:$X18)+COUNTBLANK($AA18))&gt;0,AND($P18="yes",(COUNTBLANK($Q18:$R18)+COUNTBLANK($S18:$V18))&gt;0),AND($X18="yes",$Y18=""))))</f>
        <v/>
      </c>
      <c r="AC18">
        <f>IF(COUNTA($A18:$AA18)=0,"",AND($B18&lt;&gt;"",COUNTIF($B$3:$B$33,$B18)&gt;1))</f>
        <v/>
      </c>
      <c r="AD18">
        <f>IF(COUNTA($A18:$AA18)=0,"",OR($C18&lt;&gt;"yes",AND($E18&lt;&gt;"",ISNA(MATCH($E18,ValidRounds,0))),AND($H18&lt;&gt;"",ISNA(MATCH($H18,ValidRegions,0))),AND($I18&lt;&gt;"",ISNA(MATCH($I18,ValidSites,0))),AND($J18&lt;&gt;"",ISNA(MATCH($J18,ValidEnumerators,0))),AND($K18&lt;&gt;"",ISNA(MATCH($K18,ValidYesNo,0))),AND($L18&lt;&gt;"",ISNA(MATCH($L18,ValidAgeGroups,0))),AND($M18&lt;&gt;"",ISNA(MATCH($M18,ValidGenders,0))),AND($O18&lt;&gt;"",ISNA(MATCH($O18,ValidYesNo,0))),AND($P18&lt;&gt;"",ISNA(MATCH($P18,ValidYesNo,0))),AND($R18&lt;&gt;"",ISNA(MATCH($R18,ValidTopics,0))),AND($V18&lt;&gt;"",ISNA(MATCH($V18,ValidYesNo,0))),AND($X18&lt;&gt;"",ISNA(MATCH($X18,ValidYesNo,0))),AND($Y18&lt;&gt;"",ISNA(MATCH($Y18,ValidChannels,0)))))</f>
        <v/>
      </c>
      <c r="AE18">
        <f>IF(COUNTA($A18:$AA18)=0,"",AND($K18="yes",OR(AND($F18&lt;&gt;"",OR($F18&lt;SurveyStart,$F18&gt;SurveyEnd)),AND($G18&lt;&gt;"",$F18&lt;&gt;"",$G18&gt;$F18),AND($P18="yes",$Q18&lt;&gt;"",$G18&lt;&gt;"",$Q18&lt;$G18),AND($P18="yes",$Q18&lt;&gt;"",$F18&lt;&gt;"",$Q18&gt;$F18))))</f>
        <v/>
      </c>
      <c r="AF18">
        <f>IF(COUNTA($A18:$AA18)=0,"",AND($K18="yes",OR(AND($N18&lt;&gt;"",OR($N18&lt;HouseholdMin,$N18&gt;HouseholdMax)),AND($S18&lt;&gt;"",OR($S18&lt;ScoreMin,$S18&gt;ScoreMax)),AND($T18&lt;&gt;"",OR($T18&lt;ScoreMin,$T18&gt;ScoreMax)),AND($U18&lt;&gt;"",OR($U18&lt;ScoreMin,$U18&gt;ScoreMax)),AND($W18&lt;&gt;"",OR($W18&lt;ScoreMin,$W18&gt;ScoreMax)),AND($AA18&lt;&gt;"",OR($AA18&lt;CompletionMin,$AA18&gt;CompletionMax)))))</f>
        <v/>
      </c>
      <c r="AG18">
        <f>IF(COUNTA($A18:$AA18)=0,"",AND($K18="yes",$H18&lt;&gt;"",$I18&lt;&gt;"",IFERROR(INDEX(SiteRegionList,MATCH($I18,SiteList,0)),"")&lt;&gt;$H18))</f>
        <v/>
      </c>
      <c r="AH18">
        <f>IF(COUNTA($A18:$AA18)=0,"",AND($K18="yes",OR(AND($P18="no",OR($Q18&lt;&gt;"",$R18&lt;&gt;"",$S18&lt;&gt;"",$T18&lt;&gt;"",$U18&lt;&gt;"",$V18&lt;&gt;"")),AND($X18="no",$Y18&lt;&gt;""))))</f>
        <v/>
      </c>
      <c r="AI18">
        <f>IF(COUNTA($A18:$AA18)=0,"",COUNTIF($AB18:$AH18,TRUE))</f>
        <v/>
      </c>
      <c r="AJ18">
        <f>IF(COUNTA($A18:$AA18)=0,"",$AI18&gt;0)</f>
        <v/>
      </c>
    </row>
    <row r="19">
      <c r="AB19">
        <f>IF(COUNTA($A19:$AA19)=0,"",AND($K19="yes",OR((COUNTBLANK($E19:$J19)+COUNTBLANK($L19:$P19)+COUNTBLANK($W19:$X19)+COUNTBLANK($AA19))&gt;0,AND($P19="yes",(COUNTBLANK($Q19:$R19)+COUNTBLANK($S19:$V19))&gt;0),AND($X19="yes",$Y19=""))))</f>
        <v/>
      </c>
      <c r="AC19">
        <f>IF(COUNTA($A19:$AA19)=0,"",AND($B19&lt;&gt;"",COUNTIF($B$3:$B$33,$B19)&gt;1))</f>
        <v/>
      </c>
      <c r="AD19">
        <f>IF(COUNTA($A19:$AA19)=0,"",OR($C19&lt;&gt;"yes",AND($E19&lt;&gt;"",ISNA(MATCH($E19,ValidRounds,0))),AND($H19&lt;&gt;"",ISNA(MATCH($H19,ValidRegions,0))),AND($I19&lt;&gt;"",ISNA(MATCH($I19,ValidSites,0))),AND($J19&lt;&gt;"",ISNA(MATCH($J19,ValidEnumerators,0))),AND($K19&lt;&gt;"",ISNA(MATCH($K19,ValidYesNo,0))),AND($L19&lt;&gt;"",ISNA(MATCH($L19,ValidAgeGroups,0))),AND($M19&lt;&gt;"",ISNA(MATCH($M19,ValidGenders,0))),AND($O19&lt;&gt;"",ISNA(MATCH($O19,ValidYesNo,0))),AND($P19&lt;&gt;"",ISNA(MATCH($P19,ValidYesNo,0))),AND($R19&lt;&gt;"",ISNA(MATCH($R19,ValidTopics,0))),AND($V19&lt;&gt;"",ISNA(MATCH($V19,ValidYesNo,0))),AND($X19&lt;&gt;"",ISNA(MATCH($X19,ValidYesNo,0))),AND($Y19&lt;&gt;"",ISNA(MATCH($Y19,ValidChannels,0)))))</f>
        <v/>
      </c>
      <c r="AE19">
        <f>IF(COUNTA($A19:$AA19)=0,"",AND($K19="yes",OR(AND($F19&lt;&gt;"",OR($F19&lt;SurveyStart,$F19&gt;SurveyEnd)),AND($G19&lt;&gt;"",$F19&lt;&gt;"",$G19&gt;$F19),AND($P19="yes",$Q19&lt;&gt;"",$G19&lt;&gt;"",$Q19&lt;$G19),AND($P19="yes",$Q19&lt;&gt;"",$F19&lt;&gt;"",$Q19&gt;$F19))))</f>
        <v/>
      </c>
      <c r="AF19">
        <f>IF(COUNTA($A19:$AA19)=0,"",AND($K19="yes",OR(AND($N19&lt;&gt;"",OR($N19&lt;HouseholdMin,$N19&gt;HouseholdMax)),AND($S19&lt;&gt;"",OR($S19&lt;ScoreMin,$S19&gt;ScoreMax)),AND($T19&lt;&gt;"",OR($T19&lt;ScoreMin,$T19&gt;ScoreMax)),AND($U19&lt;&gt;"",OR($U19&lt;ScoreMin,$U19&gt;ScoreMax)),AND($W19&lt;&gt;"",OR($W19&lt;ScoreMin,$W19&gt;ScoreMax)),AND($AA19&lt;&gt;"",OR($AA19&lt;CompletionMin,$AA19&gt;CompletionMax)))))</f>
        <v/>
      </c>
      <c r="AG19">
        <f>IF(COUNTA($A19:$AA19)=0,"",AND($K19="yes",$H19&lt;&gt;"",$I19&lt;&gt;"",IFERROR(INDEX(SiteRegionList,MATCH($I19,SiteList,0)),"")&lt;&gt;$H19))</f>
        <v/>
      </c>
      <c r="AH19">
        <f>IF(COUNTA($A19:$AA19)=0,"",AND($K19="yes",OR(AND($P19="no",OR($Q19&lt;&gt;"",$R19&lt;&gt;"",$S19&lt;&gt;"",$T19&lt;&gt;"",$U19&lt;&gt;"",$V19&lt;&gt;"")),AND($X19="no",$Y19&lt;&gt;""))))</f>
        <v/>
      </c>
      <c r="AI19">
        <f>IF(COUNTA($A19:$AA19)=0,"",COUNTIF($AB19:$AH19,TRUE))</f>
        <v/>
      </c>
      <c r="AJ19">
        <f>IF(COUNTA($A19:$AA19)=0,"",$AI19&gt;0)</f>
        <v/>
      </c>
    </row>
    <row r="20">
      <c r="AB20">
        <f>IF(COUNTA($A20:$AA20)=0,"",AND($K20="yes",OR((COUNTBLANK($E20:$J20)+COUNTBLANK($L20:$P20)+COUNTBLANK($W20:$X20)+COUNTBLANK($AA20))&gt;0,AND($P20="yes",(COUNTBLANK($Q20:$R20)+COUNTBLANK($S20:$V20))&gt;0),AND($X20="yes",$Y20=""))))</f>
        <v/>
      </c>
      <c r="AC20">
        <f>IF(COUNTA($A20:$AA20)=0,"",AND($B20&lt;&gt;"",COUNTIF($B$3:$B$33,$B20)&gt;1))</f>
        <v/>
      </c>
      <c r="AD20">
        <f>IF(COUNTA($A20:$AA20)=0,"",OR($C20&lt;&gt;"yes",AND($E20&lt;&gt;"",ISNA(MATCH($E20,ValidRounds,0))),AND($H20&lt;&gt;"",ISNA(MATCH($H20,ValidRegions,0))),AND($I20&lt;&gt;"",ISNA(MATCH($I20,ValidSites,0))),AND($J20&lt;&gt;"",ISNA(MATCH($J20,ValidEnumerators,0))),AND($K20&lt;&gt;"",ISNA(MATCH($K20,ValidYesNo,0))),AND($L20&lt;&gt;"",ISNA(MATCH($L20,ValidAgeGroups,0))),AND($M20&lt;&gt;"",ISNA(MATCH($M20,ValidGenders,0))),AND($O20&lt;&gt;"",ISNA(MATCH($O20,ValidYesNo,0))),AND($P20&lt;&gt;"",ISNA(MATCH($P20,ValidYesNo,0))),AND($R20&lt;&gt;"",ISNA(MATCH($R20,ValidTopics,0))),AND($V20&lt;&gt;"",ISNA(MATCH($V20,ValidYesNo,0))),AND($X20&lt;&gt;"",ISNA(MATCH($X20,ValidYesNo,0))),AND($Y20&lt;&gt;"",ISNA(MATCH($Y20,ValidChannels,0)))))</f>
        <v/>
      </c>
      <c r="AE20">
        <f>IF(COUNTA($A20:$AA20)=0,"",AND($K20="yes",OR(AND($F20&lt;&gt;"",OR($F20&lt;SurveyStart,$F20&gt;SurveyEnd)),AND($G20&lt;&gt;"",$F20&lt;&gt;"",$G20&gt;$F20),AND($P20="yes",$Q20&lt;&gt;"",$G20&lt;&gt;"",$Q20&lt;$G20),AND($P20="yes",$Q20&lt;&gt;"",$F20&lt;&gt;"",$Q20&gt;$F20))))</f>
        <v/>
      </c>
      <c r="AF20">
        <f>IF(COUNTA($A20:$AA20)=0,"",AND($K20="yes",OR(AND($N20&lt;&gt;"",OR($N20&lt;HouseholdMin,$N20&gt;HouseholdMax)),AND($S20&lt;&gt;"",OR($S20&lt;ScoreMin,$S20&gt;ScoreMax)),AND($T20&lt;&gt;"",OR($T20&lt;ScoreMin,$T20&gt;ScoreMax)),AND($U20&lt;&gt;"",OR($U20&lt;ScoreMin,$U20&gt;ScoreMax)),AND($W20&lt;&gt;"",OR($W20&lt;ScoreMin,$W20&gt;ScoreMax)),AND($AA20&lt;&gt;"",OR($AA20&lt;CompletionMin,$AA20&gt;CompletionMax)))))</f>
        <v/>
      </c>
      <c r="AG20">
        <f>IF(COUNTA($A20:$AA20)=0,"",AND($K20="yes",$H20&lt;&gt;"",$I20&lt;&gt;"",IFERROR(INDEX(SiteRegionList,MATCH($I20,SiteList,0)),"")&lt;&gt;$H20))</f>
        <v/>
      </c>
      <c r="AH20">
        <f>IF(COUNTA($A20:$AA20)=0,"",AND($K20="yes",OR(AND($P20="no",OR($Q20&lt;&gt;"",$R20&lt;&gt;"",$S20&lt;&gt;"",$T20&lt;&gt;"",$U20&lt;&gt;"",$V20&lt;&gt;"")),AND($X20="no",$Y20&lt;&gt;""))))</f>
        <v/>
      </c>
      <c r="AI20">
        <f>IF(COUNTA($A20:$AA20)=0,"",COUNTIF($AB20:$AH20,TRUE))</f>
        <v/>
      </c>
      <c r="AJ20">
        <f>IF(COUNTA($A20:$AA20)=0,"",$AI20&gt;0)</f>
        <v/>
      </c>
    </row>
    <row r="21">
      <c r="AB21">
        <f>IF(COUNTA($A21:$AA21)=0,"",AND($K21="yes",OR((COUNTBLANK($E21:$J21)+COUNTBLANK($L21:$P21)+COUNTBLANK($W21:$X21)+COUNTBLANK($AA21))&gt;0,AND($P21="yes",(COUNTBLANK($Q21:$R21)+COUNTBLANK($S21:$V21))&gt;0),AND($X21="yes",$Y21=""))))</f>
        <v/>
      </c>
      <c r="AC21">
        <f>IF(COUNTA($A21:$AA21)=0,"",AND($B21&lt;&gt;"",COUNTIF($B$3:$B$33,$B21)&gt;1))</f>
        <v/>
      </c>
      <c r="AD21">
        <f>IF(COUNTA($A21:$AA21)=0,"",OR($C21&lt;&gt;"yes",AND($E21&lt;&gt;"",ISNA(MATCH($E21,ValidRounds,0))),AND($H21&lt;&gt;"",ISNA(MATCH($H21,ValidRegions,0))),AND($I21&lt;&gt;"",ISNA(MATCH($I21,ValidSites,0))),AND($J21&lt;&gt;"",ISNA(MATCH($J21,ValidEnumerators,0))),AND($K21&lt;&gt;"",ISNA(MATCH($K21,ValidYesNo,0))),AND($L21&lt;&gt;"",ISNA(MATCH($L21,ValidAgeGroups,0))),AND($M21&lt;&gt;"",ISNA(MATCH($M21,ValidGenders,0))),AND($O21&lt;&gt;"",ISNA(MATCH($O21,ValidYesNo,0))),AND($P21&lt;&gt;"",ISNA(MATCH($P21,ValidYesNo,0))),AND($R21&lt;&gt;"",ISNA(MATCH($R21,ValidTopics,0))),AND($V21&lt;&gt;"",ISNA(MATCH($V21,ValidYesNo,0))),AND($X21&lt;&gt;"",ISNA(MATCH($X21,ValidYesNo,0))),AND($Y21&lt;&gt;"",ISNA(MATCH($Y21,ValidChannels,0)))))</f>
        <v/>
      </c>
      <c r="AE21">
        <f>IF(COUNTA($A21:$AA21)=0,"",AND($K21="yes",OR(AND($F21&lt;&gt;"",OR($F21&lt;SurveyStart,$F21&gt;SurveyEnd)),AND($G21&lt;&gt;"",$F21&lt;&gt;"",$G21&gt;$F21),AND($P21="yes",$Q21&lt;&gt;"",$G21&lt;&gt;"",$Q21&lt;$G21),AND($P21="yes",$Q21&lt;&gt;"",$F21&lt;&gt;"",$Q21&gt;$F21))))</f>
        <v/>
      </c>
      <c r="AF21">
        <f>IF(COUNTA($A21:$AA21)=0,"",AND($K21="yes",OR(AND($N21&lt;&gt;"",OR($N21&lt;HouseholdMin,$N21&gt;HouseholdMax)),AND($S21&lt;&gt;"",OR($S21&lt;ScoreMin,$S21&gt;ScoreMax)),AND($T21&lt;&gt;"",OR($T21&lt;ScoreMin,$T21&gt;ScoreMax)),AND($U21&lt;&gt;"",OR($U21&lt;ScoreMin,$U21&gt;ScoreMax)),AND($W21&lt;&gt;"",OR($W21&lt;ScoreMin,$W21&gt;ScoreMax)),AND($AA21&lt;&gt;"",OR($AA21&lt;CompletionMin,$AA21&gt;CompletionMax)))))</f>
        <v/>
      </c>
      <c r="AG21">
        <f>IF(COUNTA($A21:$AA21)=0,"",AND($K21="yes",$H21&lt;&gt;"",$I21&lt;&gt;"",IFERROR(INDEX(SiteRegionList,MATCH($I21,SiteList,0)),"")&lt;&gt;$H21))</f>
        <v/>
      </c>
      <c r="AH21">
        <f>IF(COUNTA($A21:$AA21)=0,"",AND($K21="yes",OR(AND($P21="no",OR($Q21&lt;&gt;"",$R21&lt;&gt;"",$S21&lt;&gt;"",$T21&lt;&gt;"",$U21&lt;&gt;"",$V21&lt;&gt;"")),AND($X21="no",$Y21&lt;&gt;""))))</f>
        <v/>
      </c>
      <c r="AI21">
        <f>IF(COUNTA($A21:$AA21)=0,"",COUNTIF($AB21:$AH21,TRUE))</f>
        <v/>
      </c>
      <c r="AJ21">
        <f>IF(COUNTA($A21:$AA21)=0,"",$AI21&gt;0)</f>
        <v/>
      </c>
    </row>
    <row r="22">
      <c r="AB22">
        <f>IF(COUNTA($A22:$AA22)=0,"",AND($K22="yes",OR((COUNTBLANK($E22:$J22)+COUNTBLANK($L22:$P22)+COUNTBLANK($W22:$X22)+COUNTBLANK($AA22))&gt;0,AND($P22="yes",(COUNTBLANK($Q22:$R22)+COUNTBLANK($S22:$V22))&gt;0),AND($X22="yes",$Y22=""))))</f>
        <v/>
      </c>
      <c r="AC22">
        <f>IF(COUNTA($A22:$AA22)=0,"",AND($B22&lt;&gt;"",COUNTIF($B$3:$B$33,$B22)&gt;1))</f>
        <v/>
      </c>
      <c r="AD22">
        <f>IF(COUNTA($A22:$AA22)=0,"",OR($C22&lt;&gt;"yes",AND($E22&lt;&gt;"",ISNA(MATCH($E22,ValidRounds,0))),AND($H22&lt;&gt;"",ISNA(MATCH($H22,ValidRegions,0))),AND($I22&lt;&gt;"",ISNA(MATCH($I22,ValidSites,0))),AND($J22&lt;&gt;"",ISNA(MATCH($J22,ValidEnumerators,0))),AND($K22&lt;&gt;"",ISNA(MATCH($K22,ValidYesNo,0))),AND($L22&lt;&gt;"",ISNA(MATCH($L22,ValidAgeGroups,0))),AND($M22&lt;&gt;"",ISNA(MATCH($M22,ValidGenders,0))),AND($O22&lt;&gt;"",ISNA(MATCH($O22,ValidYesNo,0))),AND($P22&lt;&gt;"",ISNA(MATCH($P22,ValidYesNo,0))),AND($R22&lt;&gt;"",ISNA(MATCH($R22,ValidTopics,0))),AND($V22&lt;&gt;"",ISNA(MATCH($V22,ValidYesNo,0))),AND($X22&lt;&gt;"",ISNA(MATCH($X22,ValidYesNo,0))),AND($Y22&lt;&gt;"",ISNA(MATCH($Y22,ValidChannels,0)))))</f>
        <v/>
      </c>
      <c r="AE22">
        <f>IF(COUNTA($A22:$AA22)=0,"",AND($K22="yes",OR(AND($F22&lt;&gt;"",OR($F22&lt;SurveyStart,$F22&gt;SurveyEnd)),AND($G22&lt;&gt;"",$F22&lt;&gt;"",$G22&gt;$F22),AND($P22="yes",$Q22&lt;&gt;"",$G22&lt;&gt;"",$Q22&lt;$G22),AND($P22="yes",$Q22&lt;&gt;"",$F22&lt;&gt;"",$Q22&gt;$F22))))</f>
        <v/>
      </c>
      <c r="AF22">
        <f>IF(COUNTA($A22:$AA22)=0,"",AND($K22="yes",OR(AND($N22&lt;&gt;"",OR($N22&lt;HouseholdMin,$N22&gt;HouseholdMax)),AND($S22&lt;&gt;"",OR($S22&lt;ScoreMin,$S22&gt;ScoreMax)),AND($T22&lt;&gt;"",OR($T22&lt;ScoreMin,$T22&gt;ScoreMax)),AND($U22&lt;&gt;"",OR($U22&lt;ScoreMin,$U22&gt;ScoreMax)),AND($W22&lt;&gt;"",OR($W22&lt;ScoreMin,$W22&gt;ScoreMax)),AND($AA22&lt;&gt;"",OR($AA22&lt;CompletionMin,$AA22&gt;CompletionMax)))))</f>
        <v/>
      </c>
      <c r="AG22">
        <f>IF(COUNTA($A22:$AA22)=0,"",AND($K22="yes",$H22&lt;&gt;"",$I22&lt;&gt;"",IFERROR(INDEX(SiteRegionList,MATCH($I22,SiteList,0)),"")&lt;&gt;$H22))</f>
        <v/>
      </c>
      <c r="AH22">
        <f>IF(COUNTA($A22:$AA22)=0,"",AND($K22="yes",OR(AND($P22="no",OR($Q22&lt;&gt;"",$R22&lt;&gt;"",$S22&lt;&gt;"",$T22&lt;&gt;"",$U22&lt;&gt;"",$V22&lt;&gt;"")),AND($X22="no",$Y22&lt;&gt;""))))</f>
        <v/>
      </c>
      <c r="AI22">
        <f>IF(COUNTA($A22:$AA22)=0,"",COUNTIF($AB22:$AH22,TRUE))</f>
        <v/>
      </c>
      <c r="AJ22">
        <f>IF(COUNTA($A22:$AA22)=0,"",$AI22&gt;0)</f>
        <v/>
      </c>
    </row>
    <row r="23">
      <c r="AB23">
        <f>IF(COUNTA($A23:$AA23)=0,"",AND($K23="yes",OR((COUNTBLANK($E23:$J23)+COUNTBLANK($L23:$P23)+COUNTBLANK($W23:$X23)+COUNTBLANK($AA23))&gt;0,AND($P23="yes",(COUNTBLANK($Q23:$R23)+COUNTBLANK($S23:$V23))&gt;0),AND($X23="yes",$Y23=""))))</f>
        <v/>
      </c>
      <c r="AC23">
        <f>IF(COUNTA($A23:$AA23)=0,"",AND($B23&lt;&gt;"",COUNTIF($B$3:$B$33,$B23)&gt;1))</f>
        <v/>
      </c>
      <c r="AD23">
        <f>IF(COUNTA($A23:$AA23)=0,"",OR($C23&lt;&gt;"yes",AND($E23&lt;&gt;"",ISNA(MATCH($E23,ValidRounds,0))),AND($H23&lt;&gt;"",ISNA(MATCH($H23,ValidRegions,0))),AND($I23&lt;&gt;"",ISNA(MATCH($I23,ValidSites,0))),AND($J23&lt;&gt;"",ISNA(MATCH($J23,ValidEnumerators,0))),AND($K23&lt;&gt;"",ISNA(MATCH($K23,ValidYesNo,0))),AND($L23&lt;&gt;"",ISNA(MATCH($L23,ValidAgeGroups,0))),AND($M23&lt;&gt;"",ISNA(MATCH($M23,ValidGenders,0))),AND($O23&lt;&gt;"",ISNA(MATCH($O23,ValidYesNo,0))),AND($P23&lt;&gt;"",ISNA(MATCH($P23,ValidYesNo,0))),AND($R23&lt;&gt;"",ISNA(MATCH($R23,ValidTopics,0))),AND($V23&lt;&gt;"",ISNA(MATCH($V23,ValidYesNo,0))),AND($X23&lt;&gt;"",ISNA(MATCH($X23,ValidYesNo,0))),AND($Y23&lt;&gt;"",ISNA(MATCH($Y23,ValidChannels,0)))))</f>
        <v/>
      </c>
      <c r="AE23">
        <f>IF(COUNTA($A23:$AA23)=0,"",AND($K23="yes",OR(AND($F23&lt;&gt;"",OR($F23&lt;SurveyStart,$F23&gt;SurveyEnd)),AND($G23&lt;&gt;"",$F23&lt;&gt;"",$G23&gt;$F23),AND($P23="yes",$Q23&lt;&gt;"",$G23&lt;&gt;"",$Q23&lt;$G23),AND($P23="yes",$Q23&lt;&gt;"",$F23&lt;&gt;"",$Q23&gt;$F23))))</f>
        <v/>
      </c>
      <c r="AF23">
        <f>IF(COUNTA($A23:$AA23)=0,"",AND($K23="yes",OR(AND($N23&lt;&gt;"",OR($N23&lt;HouseholdMin,$N23&gt;HouseholdMax)),AND($S23&lt;&gt;"",OR($S23&lt;ScoreMin,$S23&gt;ScoreMax)),AND($T23&lt;&gt;"",OR($T23&lt;ScoreMin,$T23&gt;ScoreMax)),AND($U23&lt;&gt;"",OR($U23&lt;ScoreMin,$U23&gt;ScoreMax)),AND($W23&lt;&gt;"",OR($W23&lt;ScoreMin,$W23&gt;ScoreMax)),AND($AA23&lt;&gt;"",OR($AA23&lt;CompletionMin,$AA23&gt;CompletionMax)))))</f>
        <v/>
      </c>
      <c r="AG23">
        <f>IF(COUNTA($A23:$AA23)=0,"",AND($K23="yes",$H23&lt;&gt;"",$I23&lt;&gt;"",IFERROR(INDEX(SiteRegionList,MATCH($I23,SiteList,0)),"")&lt;&gt;$H23))</f>
        <v/>
      </c>
      <c r="AH23">
        <f>IF(COUNTA($A23:$AA23)=0,"",AND($K23="yes",OR(AND($P23="no",OR($Q23&lt;&gt;"",$R23&lt;&gt;"",$S23&lt;&gt;"",$T23&lt;&gt;"",$U23&lt;&gt;"",$V23&lt;&gt;"")),AND($X23="no",$Y23&lt;&gt;""))))</f>
        <v/>
      </c>
      <c r="AI23">
        <f>IF(COUNTA($A23:$AA23)=0,"",COUNTIF($AB23:$AH23,TRUE))</f>
        <v/>
      </c>
      <c r="AJ23">
        <f>IF(COUNTA($A23:$AA23)=0,"",$AI23&gt;0)</f>
        <v/>
      </c>
    </row>
    <row r="24">
      <c r="AB24">
        <f>IF(COUNTA($A24:$AA24)=0,"",AND($K24="yes",OR((COUNTBLANK($E24:$J24)+COUNTBLANK($L24:$P24)+COUNTBLANK($W24:$X24)+COUNTBLANK($AA24))&gt;0,AND($P24="yes",(COUNTBLANK($Q24:$R24)+COUNTBLANK($S24:$V24))&gt;0),AND($X24="yes",$Y24=""))))</f>
        <v/>
      </c>
      <c r="AC24">
        <f>IF(COUNTA($A24:$AA24)=0,"",AND($B24&lt;&gt;"",COUNTIF($B$3:$B$33,$B24)&gt;1))</f>
        <v/>
      </c>
      <c r="AD24">
        <f>IF(COUNTA($A24:$AA24)=0,"",OR($C24&lt;&gt;"yes",AND($E24&lt;&gt;"",ISNA(MATCH($E24,ValidRounds,0))),AND($H24&lt;&gt;"",ISNA(MATCH($H24,ValidRegions,0))),AND($I24&lt;&gt;"",ISNA(MATCH($I24,ValidSites,0))),AND($J24&lt;&gt;"",ISNA(MATCH($J24,ValidEnumerators,0))),AND($K24&lt;&gt;"",ISNA(MATCH($K24,ValidYesNo,0))),AND($L24&lt;&gt;"",ISNA(MATCH($L24,ValidAgeGroups,0))),AND($M24&lt;&gt;"",ISNA(MATCH($M24,ValidGenders,0))),AND($O24&lt;&gt;"",ISNA(MATCH($O24,ValidYesNo,0))),AND($P24&lt;&gt;"",ISNA(MATCH($P24,ValidYesNo,0))),AND($R24&lt;&gt;"",ISNA(MATCH($R24,ValidTopics,0))),AND($V24&lt;&gt;"",ISNA(MATCH($V24,ValidYesNo,0))),AND($X24&lt;&gt;"",ISNA(MATCH($X24,ValidYesNo,0))),AND($Y24&lt;&gt;"",ISNA(MATCH($Y24,ValidChannels,0)))))</f>
        <v/>
      </c>
      <c r="AE24">
        <f>IF(COUNTA($A24:$AA24)=0,"",AND($K24="yes",OR(AND($F24&lt;&gt;"",OR($F24&lt;SurveyStart,$F24&gt;SurveyEnd)),AND($G24&lt;&gt;"",$F24&lt;&gt;"",$G24&gt;$F24),AND($P24="yes",$Q24&lt;&gt;"",$G24&lt;&gt;"",$Q24&lt;$G24),AND($P24="yes",$Q24&lt;&gt;"",$F24&lt;&gt;"",$Q24&gt;$F24))))</f>
        <v/>
      </c>
      <c r="AF24">
        <f>IF(COUNTA($A24:$AA24)=0,"",AND($K24="yes",OR(AND($N24&lt;&gt;"",OR($N24&lt;HouseholdMin,$N24&gt;HouseholdMax)),AND($S24&lt;&gt;"",OR($S24&lt;ScoreMin,$S24&gt;ScoreMax)),AND($T24&lt;&gt;"",OR($T24&lt;ScoreMin,$T24&gt;ScoreMax)),AND($U24&lt;&gt;"",OR($U24&lt;ScoreMin,$U24&gt;ScoreMax)),AND($W24&lt;&gt;"",OR($W24&lt;ScoreMin,$W24&gt;ScoreMax)),AND($AA24&lt;&gt;"",OR($AA24&lt;CompletionMin,$AA24&gt;CompletionMax)))))</f>
        <v/>
      </c>
      <c r="AG24">
        <f>IF(COUNTA($A24:$AA24)=0,"",AND($K24="yes",$H24&lt;&gt;"",$I24&lt;&gt;"",IFERROR(INDEX(SiteRegionList,MATCH($I24,SiteList,0)),"")&lt;&gt;$H24))</f>
        <v/>
      </c>
      <c r="AH24">
        <f>IF(COUNTA($A24:$AA24)=0,"",AND($K24="yes",OR(AND($P24="no",OR($Q24&lt;&gt;"",$R24&lt;&gt;"",$S24&lt;&gt;"",$T24&lt;&gt;"",$U24&lt;&gt;"",$V24&lt;&gt;"")),AND($X24="no",$Y24&lt;&gt;""))))</f>
        <v/>
      </c>
      <c r="AI24">
        <f>IF(COUNTA($A24:$AA24)=0,"",COUNTIF($AB24:$AH24,TRUE))</f>
        <v/>
      </c>
      <c r="AJ24">
        <f>IF(COUNTA($A24:$AA24)=0,"",$AI24&gt;0)</f>
        <v/>
      </c>
    </row>
    <row r="25">
      <c r="AB25">
        <f>IF(COUNTA($A25:$AA25)=0,"",AND($K25="yes",OR((COUNTBLANK($E25:$J25)+COUNTBLANK($L25:$P25)+COUNTBLANK($W25:$X25)+COUNTBLANK($AA25))&gt;0,AND($P25="yes",(COUNTBLANK($Q25:$R25)+COUNTBLANK($S25:$V25))&gt;0),AND($X25="yes",$Y25=""))))</f>
        <v/>
      </c>
      <c r="AC25">
        <f>IF(COUNTA($A25:$AA25)=0,"",AND($B25&lt;&gt;"",COUNTIF($B$3:$B$33,$B25)&gt;1))</f>
        <v/>
      </c>
      <c r="AD25">
        <f>IF(COUNTA($A25:$AA25)=0,"",OR($C25&lt;&gt;"yes",AND($E25&lt;&gt;"",ISNA(MATCH($E25,ValidRounds,0))),AND($H25&lt;&gt;"",ISNA(MATCH($H25,ValidRegions,0))),AND($I25&lt;&gt;"",ISNA(MATCH($I25,ValidSites,0))),AND($J25&lt;&gt;"",ISNA(MATCH($J25,ValidEnumerators,0))),AND($K25&lt;&gt;"",ISNA(MATCH($K25,ValidYesNo,0))),AND($L25&lt;&gt;"",ISNA(MATCH($L25,ValidAgeGroups,0))),AND($M25&lt;&gt;"",ISNA(MATCH($M25,ValidGenders,0))),AND($O25&lt;&gt;"",ISNA(MATCH($O25,ValidYesNo,0))),AND($P25&lt;&gt;"",ISNA(MATCH($P25,ValidYesNo,0))),AND($R25&lt;&gt;"",ISNA(MATCH($R25,ValidTopics,0))),AND($V25&lt;&gt;"",ISNA(MATCH($V25,ValidYesNo,0))),AND($X25&lt;&gt;"",ISNA(MATCH($X25,ValidYesNo,0))),AND($Y25&lt;&gt;"",ISNA(MATCH($Y25,ValidChannels,0)))))</f>
        <v/>
      </c>
      <c r="AE25">
        <f>IF(COUNTA($A25:$AA25)=0,"",AND($K25="yes",OR(AND($F25&lt;&gt;"",OR($F25&lt;SurveyStart,$F25&gt;SurveyEnd)),AND($G25&lt;&gt;"",$F25&lt;&gt;"",$G25&gt;$F25),AND($P25="yes",$Q25&lt;&gt;"",$G25&lt;&gt;"",$Q25&lt;$G25),AND($P25="yes",$Q25&lt;&gt;"",$F25&lt;&gt;"",$Q25&gt;$F25))))</f>
        <v/>
      </c>
      <c r="AF25">
        <f>IF(COUNTA($A25:$AA25)=0,"",AND($K25="yes",OR(AND($N25&lt;&gt;"",OR($N25&lt;HouseholdMin,$N25&gt;HouseholdMax)),AND($S25&lt;&gt;"",OR($S25&lt;ScoreMin,$S25&gt;ScoreMax)),AND($T25&lt;&gt;"",OR($T25&lt;ScoreMin,$T25&gt;ScoreMax)),AND($U25&lt;&gt;"",OR($U25&lt;ScoreMin,$U25&gt;ScoreMax)),AND($W25&lt;&gt;"",OR($W25&lt;ScoreMin,$W25&gt;ScoreMax)),AND($AA25&lt;&gt;"",OR($AA25&lt;CompletionMin,$AA25&gt;CompletionMax)))))</f>
        <v/>
      </c>
      <c r="AG25">
        <f>IF(COUNTA($A25:$AA25)=0,"",AND($K25="yes",$H25&lt;&gt;"",$I25&lt;&gt;"",IFERROR(INDEX(SiteRegionList,MATCH($I25,SiteList,0)),"")&lt;&gt;$H25))</f>
        <v/>
      </c>
      <c r="AH25">
        <f>IF(COUNTA($A25:$AA25)=0,"",AND($K25="yes",OR(AND($P25="no",OR($Q25&lt;&gt;"",$R25&lt;&gt;"",$S25&lt;&gt;"",$T25&lt;&gt;"",$U25&lt;&gt;"",$V25&lt;&gt;"")),AND($X25="no",$Y25&lt;&gt;""))))</f>
        <v/>
      </c>
      <c r="AI25">
        <f>IF(COUNTA($A25:$AA25)=0,"",COUNTIF($AB25:$AH25,TRUE))</f>
        <v/>
      </c>
      <c r="AJ25">
        <f>IF(COUNTA($A25:$AA25)=0,"",$AI25&gt;0)</f>
        <v/>
      </c>
    </row>
    <row r="26">
      <c r="AB26">
        <f>IF(COUNTA($A26:$AA26)=0,"",AND($K26="yes",OR((COUNTBLANK($E26:$J26)+COUNTBLANK($L26:$P26)+COUNTBLANK($W26:$X26)+COUNTBLANK($AA26))&gt;0,AND($P26="yes",(COUNTBLANK($Q26:$R26)+COUNTBLANK($S26:$V26))&gt;0),AND($X26="yes",$Y26=""))))</f>
        <v/>
      </c>
      <c r="AC26">
        <f>IF(COUNTA($A26:$AA26)=0,"",AND($B26&lt;&gt;"",COUNTIF($B$3:$B$33,$B26)&gt;1))</f>
        <v/>
      </c>
      <c r="AD26">
        <f>IF(COUNTA($A26:$AA26)=0,"",OR($C26&lt;&gt;"yes",AND($E26&lt;&gt;"",ISNA(MATCH($E26,ValidRounds,0))),AND($H26&lt;&gt;"",ISNA(MATCH($H26,ValidRegions,0))),AND($I26&lt;&gt;"",ISNA(MATCH($I26,ValidSites,0))),AND($J26&lt;&gt;"",ISNA(MATCH($J26,ValidEnumerators,0))),AND($K26&lt;&gt;"",ISNA(MATCH($K26,ValidYesNo,0))),AND($L26&lt;&gt;"",ISNA(MATCH($L26,ValidAgeGroups,0))),AND($M26&lt;&gt;"",ISNA(MATCH($M26,ValidGenders,0))),AND($O26&lt;&gt;"",ISNA(MATCH($O26,ValidYesNo,0))),AND($P26&lt;&gt;"",ISNA(MATCH($P26,ValidYesNo,0))),AND($R26&lt;&gt;"",ISNA(MATCH($R26,ValidTopics,0))),AND($V26&lt;&gt;"",ISNA(MATCH($V26,ValidYesNo,0))),AND($X26&lt;&gt;"",ISNA(MATCH($X26,ValidYesNo,0))),AND($Y26&lt;&gt;"",ISNA(MATCH($Y26,ValidChannels,0)))))</f>
        <v/>
      </c>
      <c r="AE26">
        <f>IF(COUNTA($A26:$AA26)=0,"",AND($K26="yes",OR(AND($F26&lt;&gt;"",OR($F26&lt;SurveyStart,$F26&gt;SurveyEnd)),AND($G26&lt;&gt;"",$F26&lt;&gt;"",$G26&gt;$F26),AND($P26="yes",$Q26&lt;&gt;"",$G26&lt;&gt;"",$Q26&lt;$G26),AND($P26="yes",$Q26&lt;&gt;"",$F26&lt;&gt;"",$Q26&gt;$F26))))</f>
        <v/>
      </c>
      <c r="AF26">
        <f>IF(COUNTA($A26:$AA26)=0,"",AND($K26="yes",OR(AND($N26&lt;&gt;"",OR($N26&lt;HouseholdMin,$N26&gt;HouseholdMax)),AND($S26&lt;&gt;"",OR($S26&lt;ScoreMin,$S26&gt;ScoreMax)),AND($T26&lt;&gt;"",OR($T26&lt;ScoreMin,$T26&gt;ScoreMax)),AND($U26&lt;&gt;"",OR($U26&lt;ScoreMin,$U26&gt;ScoreMax)),AND($W26&lt;&gt;"",OR($W26&lt;ScoreMin,$W26&gt;ScoreMax)),AND($AA26&lt;&gt;"",OR($AA26&lt;CompletionMin,$AA26&gt;CompletionMax)))))</f>
        <v/>
      </c>
      <c r="AG26">
        <f>IF(COUNTA($A26:$AA26)=0,"",AND($K26="yes",$H26&lt;&gt;"",$I26&lt;&gt;"",IFERROR(INDEX(SiteRegionList,MATCH($I26,SiteList,0)),"")&lt;&gt;$H26))</f>
        <v/>
      </c>
      <c r="AH26">
        <f>IF(COUNTA($A26:$AA26)=0,"",AND($K26="yes",OR(AND($P26="no",OR($Q26&lt;&gt;"",$R26&lt;&gt;"",$S26&lt;&gt;"",$T26&lt;&gt;"",$U26&lt;&gt;"",$V26&lt;&gt;"")),AND($X26="no",$Y26&lt;&gt;""))))</f>
        <v/>
      </c>
      <c r="AI26">
        <f>IF(COUNTA($A26:$AA26)=0,"",COUNTIF($AB26:$AH26,TRUE))</f>
        <v/>
      </c>
      <c r="AJ26">
        <f>IF(COUNTA($A26:$AA26)=0,"",$AI26&gt;0)</f>
        <v/>
      </c>
    </row>
    <row r="27">
      <c r="AB27">
        <f>IF(COUNTA($A27:$AA27)=0,"",AND($K27="yes",OR((COUNTBLANK($E27:$J27)+COUNTBLANK($L27:$P27)+COUNTBLANK($W27:$X27)+COUNTBLANK($AA27))&gt;0,AND($P27="yes",(COUNTBLANK($Q27:$R27)+COUNTBLANK($S27:$V27))&gt;0),AND($X27="yes",$Y27=""))))</f>
        <v/>
      </c>
      <c r="AC27">
        <f>IF(COUNTA($A27:$AA27)=0,"",AND($B27&lt;&gt;"",COUNTIF($B$3:$B$33,$B27)&gt;1))</f>
        <v/>
      </c>
      <c r="AD27">
        <f>IF(COUNTA($A27:$AA27)=0,"",OR($C27&lt;&gt;"yes",AND($E27&lt;&gt;"",ISNA(MATCH($E27,ValidRounds,0))),AND($H27&lt;&gt;"",ISNA(MATCH($H27,ValidRegions,0))),AND($I27&lt;&gt;"",ISNA(MATCH($I27,ValidSites,0))),AND($J27&lt;&gt;"",ISNA(MATCH($J27,ValidEnumerators,0))),AND($K27&lt;&gt;"",ISNA(MATCH($K27,ValidYesNo,0))),AND($L27&lt;&gt;"",ISNA(MATCH($L27,ValidAgeGroups,0))),AND($M27&lt;&gt;"",ISNA(MATCH($M27,ValidGenders,0))),AND($O27&lt;&gt;"",ISNA(MATCH($O27,ValidYesNo,0))),AND($P27&lt;&gt;"",ISNA(MATCH($P27,ValidYesNo,0))),AND($R27&lt;&gt;"",ISNA(MATCH($R27,ValidTopics,0))),AND($V27&lt;&gt;"",ISNA(MATCH($V27,ValidYesNo,0))),AND($X27&lt;&gt;"",ISNA(MATCH($X27,ValidYesNo,0))),AND($Y27&lt;&gt;"",ISNA(MATCH($Y27,ValidChannels,0)))))</f>
        <v/>
      </c>
      <c r="AE27">
        <f>IF(COUNTA($A27:$AA27)=0,"",AND($K27="yes",OR(AND($F27&lt;&gt;"",OR($F27&lt;SurveyStart,$F27&gt;SurveyEnd)),AND($G27&lt;&gt;"",$F27&lt;&gt;"",$G27&gt;$F27),AND($P27="yes",$Q27&lt;&gt;"",$G27&lt;&gt;"",$Q27&lt;$G27),AND($P27="yes",$Q27&lt;&gt;"",$F27&lt;&gt;"",$Q27&gt;$F27))))</f>
        <v/>
      </c>
      <c r="AF27">
        <f>IF(COUNTA($A27:$AA27)=0,"",AND($K27="yes",OR(AND($N27&lt;&gt;"",OR($N27&lt;HouseholdMin,$N27&gt;HouseholdMax)),AND($S27&lt;&gt;"",OR($S27&lt;ScoreMin,$S27&gt;ScoreMax)),AND($T27&lt;&gt;"",OR($T27&lt;ScoreMin,$T27&gt;ScoreMax)),AND($U27&lt;&gt;"",OR($U27&lt;ScoreMin,$U27&gt;ScoreMax)),AND($W27&lt;&gt;"",OR($W27&lt;ScoreMin,$W27&gt;ScoreMax)),AND($AA27&lt;&gt;"",OR($AA27&lt;CompletionMin,$AA27&gt;CompletionMax)))))</f>
        <v/>
      </c>
      <c r="AG27">
        <f>IF(COUNTA($A27:$AA27)=0,"",AND($K27="yes",$H27&lt;&gt;"",$I27&lt;&gt;"",IFERROR(INDEX(SiteRegionList,MATCH($I27,SiteList,0)),"")&lt;&gt;$H27))</f>
        <v/>
      </c>
      <c r="AH27">
        <f>IF(COUNTA($A27:$AA27)=0,"",AND($K27="yes",OR(AND($P27="no",OR($Q27&lt;&gt;"",$R27&lt;&gt;"",$S27&lt;&gt;"",$T27&lt;&gt;"",$U27&lt;&gt;"",$V27&lt;&gt;"")),AND($X27="no",$Y27&lt;&gt;""))))</f>
        <v/>
      </c>
      <c r="AI27">
        <f>IF(COUNTA($A27:$AA27)=0,"",COUNTIF($AB27:$AH27,TRUE))</f>
        <v/>
      </c>
      <c r="AJ27">
        <f>IF(COUNTA($A27:$AA27)=0,"",$AI27&gt;0)</f>
        <v/>
      </c>
    </row>
    <row r="28">
      <c r="AB28">
        <f>IF(COUNTA($A28:$AA28)=0,"",AND($K28="yes",OR((COUNTBLANK($E28:$J28)+COUNTBLANK($L28:$P28)+COUNTBLANK($W28:$X28)+COUNTBLANK($AA28))&gt;0,AND($P28="yes",(COUNTBLANK($Q28:$R28)+COUNTBLANK($S28:$V28))&gt;0),AND($X28="yes",$Y28=""))))</f>
        <v/>
      </c>
      <c r="AC28">
        <f>IF(COUNTA($A28:$AA28)=0,"",AND($B28&lt;&gt;"",COUNTIF($B$3:$B$33,$B28)&gt;1))</f>
        <v/>
      </c>
      <c r="AD28">
        <f>IF(COUNTA($A28:$AA28)=0,"",OR($C28&lt;&gt;"yes",AND($E28&lt;&gt;"",ISNA(MATCH($E28,ValidRounds,0))),AND($H28&lt;&gt;"",ISNA(MATCH($H28,ValidRegions,0))),AND($I28&lt;&gt;"",ISNA(MATCH($I28,ValidSites,0))),AND($J28&lt;&gt;"",ISNA(MATCH($J28,ValidEnumerators,0))),AND($K28&lt;&gt;"",ISNA(MATCH($K28,ValidYesNo,0))),AND($L28&lt;&gt;"",ISNA(MATCH($L28,ValidAgeGroups,0))),AND($M28&lt;&gt;"",ISNA(MATCH($M28,ValidGenders,0))),AND($O28&lt;&gt;"",ISNA(MATCH($O28,ValidYesNo,0))),AND($P28&lt;&gt;"",ISNA(MATCH($P28,ValidYesNo,0))),AND($R28&lt;&gt;"",ISNA(MATCH($R28,ValidTopics,0))),AND($V28&lt;&gt;"",ISNA(MATCH($V28,ValidYesNo,0))),AND($X28&lt;&gt;"",ISNA(MATCH($X28,ValidYesNo,0))),AND($Y28&lt;&gt;"",ISNA(MATCH($Y28,ValidChannels,0)))))</f>
        <v/>
      </c>
      <c r="AE28">
        <f>IF(COUNTA($A28:$AA28)=0,"",AND($K28="yes",OR(AND($F28&lt;&gt;"",OR($F28&lt;SurveyStart,$F28&gt;SurveyEnd)),AND($G28&lt;&gt;"",$F28&lt;&gt;"",$G28&gt;$F28),AND($P28="yes",$Q28&lt;&gt;"",$G28&lt;&gt;"",$Q28&lt;$G28),AND($P28="yes",$Q28&lt;&gt;"",$F28&lt;&gt;"",$Q28&gt;$F28))))</f>
        <v/>
      </c>
      <c r="AF28">
        <f>IF(COUNTA($A28:$AA28)=0,"",AND($K28="yes",OR(AND($N28&lt;&gt;"",OR($N28&lt;HouseholdMin,$N28&gt;HouseholdMax)),AND($S28&lt;&gt;"",OR($S28&lt;ScoreMin,$S28&gt;ScoreMax)),AND($T28&lt;&gt;"",OR($T28&lt;ScoreMin,$T28&gt;ScoreMax)),AND($U28&lt;&gt;"",OR($U28&lt;ScoreMin,$U28&gt;ScoreMax)),AND($W28&lt;&gt;"",OR($W28&lt;ScoreMin,$W28&gt;ScoreMax)),AND($AA28&lt;&gt;"",OR($AA28&lt;CompletionMin,$AA28&gt;CompletionMax)))))</f>
        <v/>
      </c>
      <c r="AG28">
        <f>IF(COUNTA($A28:$AA28)=0,"",AND($K28="yes",$H28&lt;&gt;"",$I28&lt;&gt;"",IFERROR(INDEX(SiteRegionList,MATCH($I28,SiteList,0)),"")&lt;&gt;$H28))</f>
        <v/>
      </c>
      <c r="AH28">
        <f>IF(COUNTA($A28:$AA28)=0,"",AND($K28="yes",OR(AND($P28="no",OR($Q28&lt;&gt;"",$R28&lt;&gt;"",$S28&lt;&gt;"",$T28&lt;&gt;"",$U28&lt;&gt;"",$V28&lt;&gt;"")),AND($X28="no",$Y28&lt;&gt;""))))</f>
        <v/>
      </c>
      <c r="AI28">
        <f>IF(COUNTA($A28:$AA28)=0,"",COUNTIF($AB28:$AH28,TRUE))</f>
        <v/>
      </c>
      <c r="AJ28">
        <f>IF(COUNTA($A28:$AA28)=0,"",$AI28&gt;0)</f>
        <v/>
      </c>
    </row>
    <row r="29">
      <c r="AB29">
        <f>IF(COUNTA($A29:$AA29)=0,"",AND($K29="yes",OR((COUNTBLANK($E29:$J29)+COUNTBLANK($L29:$P29)+COUNTBLANK($W29:$X29)+COUNTBLANK($AA29))&gt;0,AND($P29="yes",(COUNTBLANK($Q29:$R29)+COUNTBLANK($S29:$V29))&gt;0),AND($X29="yes",$Y29=""))))</f>
        <v/>
      </c>
      <c r="AC29">
        <f>IF(COUNTA($A29:$AA29)=0,"",AND($B29&lt;&gt;"",COUNTIF($B$3:$B$33,$B29)&gt;1))</f>
        <v/>
      </c>
      <c r="AD29">
        <f>IF(COUNTA($A29:$AA29)=0,"",OR($C29&lt;&gt;"yes",AND($E29&lt;&gt;"",ISNA(MATCH($E29,ValidRounds,0))),AND($H29&lt;&gt;"",ISNA(MATCH($H29,ValidRegions,0))),AND($I29&lt;&gt;"",ISNA(MATCH($I29,ValidSites,0))),AND($J29&lt;&gt;"",ISNA(MATCH($J29,ValidEnumerators,0))),AND($K29&lt;&gt;"",ISNA(MATCH($K29,ValidYesNo,0))),AND($L29&lt;&gt;"",ISNA(MATCH($L29,ValidAgeGroups,0))),AND($M29&lt;&gt;"",ISNA(MATCH($M29,ValidGenders,0))),AND($O29&lt;&gt;"",ISNA(MATCH($O29,ValidYesNo,0))),AND($P29&lt;&gt;"",ISNA(MATCH($P29,ValidYesNo,0))),AND($R29&lt;&gt;"",ISNA(MATCH($R29,ValidTopics,0))),AND($V29&lt;&gt;"",ISNA(MATCH($V29,ValidYesNo,0))),AND($X29&lt;&gt;"",ISNA(MATCH($X29,ValidYesNo,0))),AND($Y29&lt;&gt;"",ISNA(MATCH($Y29,ValidChannels,0)))))</f>
        <v/>
      </c>
      <c r="AE29">
        <f>IF(COUNTA($A29:$AA29)=0,"",AND($K29="yes",OR(AND($F29&lt;&gt;"",OR($F29&lt;SurveyStart,$F29&gt;SurveyEnd)),AND($G29&lt;&gt;"",$F29&lt;&gt;"",$G29&gt;$F29),AND($P29="yes",$Q29&lt;&gt;"",$G29&lt;&gt;"",$Q29&lt;$G29),AND($P29="yes",$Q29&lt;&gt;"",$F29&lt;&gt;"",$Q29&gt;$F29))))</f>
        <v/>
      </c>
      <c r="AF29">
        <f>IF(COUNTA($A29:$AA29)=0,"",AND($K29="yes",OR(AND($N29&lt;&gt;"",OR($N29&lt;HouseholdMin,$N29&gt;HouseholdMax)),AND($S29&lt;&gt;"",OR($S29&lt;ScoreMin,$S29&gt;ScoreMax)),AND($T29&lt;&gt;"",OR($T29&lt;ScoreMin,$T29&gt;ScoreMax)),AND($U29&lt;&gt;"",OR($U29&lt;ScoreMin,$U29&gt;ScoreMax)),AND($W29&lt;&gt;"",OR($W29&lt;ScoreMin,$W29&gt;ScoreMax)),AND($AA29&lt;&gt;"",OR($AA29&lt;CompletionMin,$AA29&gt;CompletionMax)))))</f>
        <v/>
      </c>
      <c r="AG29">
        <f>IF(COUNTA($A29:$AA29)=0,"",AND($K29="yes",$H29&lt;&gt;"",$I29&lt;&gt;"",IFERROR(INDEX(SiteRegionList,MATCH($I29,SiteList,0)),"")&lt;&gt;$H29))</f>
        <v/>
      </c>
      <c r="AH29">
        <f>IF(COUNTA($A29:$AA29)=0,"",AND($K29="yes",OR(AND($P29="no",OR($Q29&lt;&gt;"",$R29&lt;&gt;"",$S29&lt;&gt;"",$T29&lt;&gt;"",$U29&lt;&gt;"",$V29&lt;&gt;"")),AND($X29="no",$Y29&lt;&gt;""))))</f>
        <v/>
      </c>
      <c r="AI29">
        <f>IF(COUNTA($A29:$AA29)=0,"",COUNTIF($AB29:$AH29,TRUE))</f>
        <v/>
      </c>
      <c r="AJ29">
        <f>IF(COUNTA($A29:$AA29)=0,"",$AI29&gt;0)</f>
        <v/>
      </c>
    </row>
    <row r="30">
      <c r="AB30">
        <f>IF(COUNTA($A30:$AA30)=0,"",AND($K30="yes",OR((COUNTBLANK($E30:$J30)+COUNTBLANK($L30:$P30)+COUNTBLANK($W30:$X30)+COUNTBLANK($AA30))&gt;0,AND($P30="yes",(COUNTBLANK($Q30:$R30)+COUNTBLANK($S30:$V30))&gt;0),AND($X30="yes",$Y30=""))))</f>
        <v/>
      </c>
      <c r="AC30">
        <f>IF(COUNTA($A30:$AA30)=0,"",AND($B30&lt;&gt;"",COUNTIF($B$3:$B$33,$B30)&gt;1))</f>
        <v/>
      </c>
      <c r="AD30">
        <f>IF(COUNTA($A30:$AA30)=0,"",OR($C30&lt;&gt;"yes",AND($E30&lt;&gt;"",ISNA(MATCH($E30,ValidRounds,0))),AND($H30&lt;&gt;"",ISNA(MATCH($H30,ValidRegions,0))),AND($I30&lt;&gt;"",ISNA(MATCH($I30,ValidSites,0))),AND($J30&lt;&gt;"",ISNA(MATCH($J30,ValidEnumerators,0))),AND($K30&lt;&gt;"",ISNA(MATCH($K30,ValidYesNo,0))),AND($L30&lt;&gt;"",ISNA(MATCH($L30,ValidAgeGroups,0))),AND($M30&lt;&gt;"",ISNA(MATCH($M30,ValidGenders,0))),AND($O30&lt;&gt;"",ISNA(MATCH($O30,ValidYesNo,0))),AND($P30&lt;&gt;"",ISNA(MATCH($P30,ValidYesNo,0))),AND($R30&lt;&gt;"",ISNA(MATCH($R30,ValidTopics,0))),AND($V30&lt;&gt;"",ISNA(MATCH($V30,ValidYesNo,0))),AND($X30&lt;&gt;"",ISNA(MATCH($X30,ValidYesNo,0))),AND($Y30&lt;&gt;"",ISNA(MATCH($Y30,ValidChannels,0)))))</f>
        <v/>
      </c>
      <c r="AE30">
        <f>IF(COUNTA($A30:$AA30)=0,"",AND($K30="yes",OR(AND($F30&lt;&gt;"",OR($F30&lt;SurveyStart,$F30&gt;SurveyEnd)),AND($G30&lt;&gt;"",$F30&lt;&gt;"",$G30&gt;$F30),AND($P30="yes",$Q30&lt;&gt;"",$G30&lt;&gt;"",$Q30&lt;$G30),AND($P30="yes",$Q30&lt;&gt;"",$F30&lt;&gt;"",$Q30&gt;$F30))))</f>
        <v/>
      </c>
      <c r="AF30">
        <f>IF(COUNTA($A30:$AA30)=0,"",AND($K30="yes",OR(AND($N30&lt;&gt;"",OR($N30&lt;HouseholdMin,$N30&gt;HouseholdMax)),AND($S30&lt;&gt;"",OR($S30&lt;ScoreMin,$S30&gt;ScoreMax)),AND($T30&lt;&gt;"",OR($T30&lt;ScoreMin,$T30&gt;ScoreMax)),AND($U30&lt;&gt;"",OR($U30&lt;ScoreMin,$U30&gt;ScoreMax)),AND($W30&lt;&gt;"",OR($W30&lt;ScoreMin,$W30&gt;ScoreMax)),AND($AA30&lt;&gt;"",OR($AA30&lt;CompletionMin,$AA30&gt;CompletionMax)))))</f>
        <v/>
      </c>
      <c r="AG30">
        <f>IF(COUNTA($A30:$AA30)=0,"",AND($K30="yes",$H30&lt;&gt;"",$I30&lt;&gt;"",IFERROR(INDEX(SiteRegionList,MATCH($I30,SiteList,0)),"")&lt;&gt;$H30))</f>
        <v/>
      </c>
      <c r="AH30">
        <f>IF(COUNTA($A30:$AA30)=0,"",AND($K30="yes",OR(AND($P30="no",OR($Q30&lt;&gt;"",$R30&lt;&gt;"",$S30&lt;&gt;"",$T30&lt;&gt;"",$U30&lt;&gt;"",$V30&lt;&gt;"")),AND($X30="no",$Y30&lt;&gt;""))))</f>
        <v/>
      </c>
      <c r="AI30">
        <f>IF(COUNTA($A30:$AA30)=0,"",COUNTIF($AB30:$AH30,TRUE))</f>
        <v/>
      </c>
      <c r="AJ30">
        <f>IF(COUNTA($A30:$AA30)=0,"",$AI30&gt;0)</f>
        <v/>
      </c>
    </row>
    <row r="31">
      <c r="AB31">
        <f>IF(COUNTA($A31:$AA31)=0,"",AND($K31="yes",OR((COUNTBLANK($E31:$J31)+COUNTBLANK($L31:$P31)+COUNTBLANK($W31:$X31)+COUNTBLANK($AA31))&gt;0,AND($P31="yes",(COUNTBLANK($Q31:$R31)+COUNTBLANK($S31:$V31))&gt;0),AND($X31="yes",$Y31=""))))</f>
        <v/>
      </c>
      <c r="AC31">
        <f>IF(COUNTA($A31:$AA31)=0,"",AND($B31&lt;&gt;"",COUNTIF($B$3:$B$33,$B31)&gt;1))</f>
        <v/>
      </c>
      <c r="AD31">
        <f>IF(COUNTA($A31:$AA31)=0,"",OR($C31&lt;&gt;"yes",AND($E31&lt;&gt;"",ISNA(MATCH($E31,ValidRounds,0))),AND($H31&lt;&gt;"",ISNA(MATCH($H31,ValidRegions,0))),AND($I31&lt;&gt;"",ISNA(MATCH($I31,ValidSites,0))),AND($J31&lt;&gt;"",ISNA(MATCH($J31,ValidEnumerators,0))),AND($K31&lt;&gt;"",ISNA(MATCH($K31,ValidYesNo,0))),AND($L31&lt;&gt;"",ISNA(MATCH($L31,ValidAgeGroups,0))),AND($M31&lt;&gt;"",ISNA(MATCH($M31,ValidGenders,0))),AND($O31&lt;&gt;"",ISNA(MATCH($O31,ValidYesNo,0))),AND($P31&lt;&gt;"",ISNA(MATCH($P31,ValidYesNo,0))),AND($R31&lt;&gt;"",ISNA(MATCH($R31,ValidTopics,0))),AND($V31&lt;&gt;"",ISNA(MATCH($V31,ValidYesNo,0))),AND($X31&lt;&gt;"",ISNA(MATCH($X31,ValidYesNo,0))),AND($Y31&lt;&gt;"",ISNA(MATCH($Y31,ValidChannels,0)))))</f>
        <v/>
      </c>
      <c r="AE31">
        <f>IF(COUNTA($A31:$AA31)=0,"",AND($K31="yes",OR(AND($F31&lt;&gt;"",OR($F31&lt;SurveyStart,$F31&gt;SurveyEnd)),AND($G31&lt;&gt;"",$F31&lt;&gt;"",$G31&gt;$F31),AND($P31="yes",$Q31&lt;&gt;"",$G31&lt;&gt;"",$Q31&lt;$G31),AND($P31="yes",$Q31&lt;&gt;"",$F31&lt;&gt;"",$Q31&gt;$F31))))</f>
        <v/>
      </c>
      <c r="AF31">
        <f>IF(COUNTA($A31:$AA31)=0,"",AND($K31="yes",OR(AND($N31&lt;&gt;"",OR($N31&lt;HouseholdMin,$N31&gt;HouseholdMax)),AND($S31&lt;&gt;"",OR($S31&lt;ScoreMin,$S31&gt;ScoreMax)),AND($T31&lt;&gt;"",OR($T31&lt;ScoreMin,$T31&gt;ScoreMax)),AND($U31&lt;&gt;"",OR($U31&lt;ScoreMin,$U31&gt;ScoreMax)),AND($W31&lt;&gt;"",OR($W31&lt;ScoreMin,$W31&gt;ScoreMax)),AND($AA31&lt;&gt;"",OR($AA31&lt;CompletionMin,$AA31&gt;CompletionMax)))))</f>
        <v/>
      </c>
      <c r="AG31">
        <f>IF(COUNTA($A31:$AA31)=0,"",AND($K31="yes",$H31&lt;&gt;"",$I31&lt;&gt;"",IFERROR(INDEX(SiteRegionList,MATCH($I31,SiteList,0)),"")&lt;&gt;$H31))</f>
        <v/>
      </c>
      <c r="AH31">
        <f>IF(COUNTA($A31:$AA31)=0,"",AND($K31="yes",OR(AND($P31="no",OR($Q31&lt;&gt;"",$R31&lt;&gt;"",$S31&lt;&gt;"",$T31&lt;&gt;"",$U31&lt;&gt;"",$V31&lt;&gt;"")),AND($X31="no",$Y31&lt;&gt;""))))</f>
        <v/>
      </c>
      <c r="AI31">
        <f>IF(COUNTA($A31:$AA31)=0,"",COUNTIF($AB31:$AH31,TRUE))</f>
        <v/>
      </c>
      <c r="AJ31">
        <f>IF(COUNTA($A31:$AA31)=0,"",$AI31&gt;0)</f>
        <v/>
      </c>
    </row>
    <row r="32">
      <c r="AB32">
        <f>IF(COUNTA($A32:$AA32)=0,"",AND($K32="yes",OR((COUNTBLANK($E32:$J32)+COUNTBLANK($L32:$P32)+COUNTBLANK($W32:$X32)+COUNTBLANK($AA32))&gt;0,AND($P32="yes",(COUNTBLANK($Q32:$R32)+COUNTBLANK($S32:$V32))&gt;0),AND($X32="yes",$Y32=""))))</f>
        <v/>
      </c>
      <c r="AC32">
        <f>IF(COUNTA($A32:$AA32)=0,"",AND($B32&lt;&gt;"",COUNTIF($B$3:$B$33,$B32)&gt;1))</f>
        <v/>
      </c>
      <c r="AD32">
        <f>IF(COUNTA($A32:$AA32)=0,"",OR($C32&lt;&gt;"yes",AND($E32&lt;&gt;"",ISNA(MATCH($E32,ValidRounds,0))),AND($H32&lt;&gt;"",ISNA(MATCH($H32,ValidRegions,0))),AND($I32&lt;&gt;"",ISNA(MATCH($I32,ValidSites,0))),AND($J32&lt;&gt;"",ISNA(MATCH($J32,ValidEnumerators,0))),AND($K32&lt;&gt;"",ISNA(MATCH($K32,ValidYesNo,0))),AND($L32&lt;&gt;"",ISNA(MATCH($L32,ValidAgeGroups,0))),AND($M32&lt;&gt;"",ISNA(MATCH($M32,ValidGenders,0))),AND($O32&lt;&gt;"",ISNA(MATCH($O32,ValidYesNo,0))),AND($P32&lt;&gt;"",ISNA(MATCH($P32,ValidYesNo,0))),AND($R32&lt;&gt;"",ISNA(MATCH($R32,ValidTopics,0))),AND($V32&lt;&gt;"",ISNA(MATCH($V32,ValidYesNo,0))),AND($X32&lt;&gt;"",ISNA(MATCH($X32,ValidYesNo,0))),AND($Y32&lt;&gt;"",ISNA(MATCH($Y32,ValidChannels,0)))))</f>
        <v/>
      </c>
      <c r="AE32">
        <f>IF(COUNTA($A32:$AA32)=0,"",AND($K32="yes",OR(AND($F32&lt;&gt;"",OR($F32&lt;SurveyStart,$F32&gt;SurveyEnd)),AND($G32&lt;&gt;"",$F32&lt;&gt;"",$G32&gt;$F32),AND($P32="yes",$Q32&lt;&gt;"",$G32&lt;&gt;"",$Q32&lt;$G32),AND($P32="yes",$Q32&lt;&gt;"",$F32&lt;&gt;"",$Q32&gt;$F32))))</f>
        <v/>
      </c>
      <c r="AF32">
        <f>IF(COUNTA($A32:$AA32)=0,"",AND($K32="yes",OR(AND($N32&lt;&gt;"",OR($N32&lt;HouseholdMin,$N32&gt;HouseholdMax)),AND($S32&lt;&gt;"",OR($S32&lt;ScoreMin,$S32&gt;ScoreMax)),AND($T32&lt;&gt;"",OR($T32&lt;ScoreMin,$T32&gt;ScoreMax)),AND($U32&lt;&gt;"",OR($U32&lt;ScoreMin,$U32&gt;ScoreMax)),AND($W32&lt;&gt;"",OR($W32&lt;ScoreMin,$W32&gt;ScoreMax)),AND($AA32&lt;&gt;"",OR($AA32&lt;CompletionMin,$AA32&gt;CompletionMax)))))</f>
        <v/>
      </c>
      <c r="AG32">
        <f>IF(COUNTA($A32:$AA32)=0,"",AND($K32="yes",$H32&lt;&gt;"",$I32&lt;&gt;"",IFERROR(INDEX(SiteRegionList,MATCH($I32,SiteList,0)),"")&lt;&gt;$H32))</f>
        <v/>
      </c>
      <c r="AH32">
        <f>IF(COUNTA($A32:$AA32)=0,"",AND($K32="yes",OR(AND($P32="no",OR($Q32&lt;&gt;"",$R32&lt;&gt;"",$S32&lt;&gt;"",$T32&lt;&gt;"",$U32&lt;&gt;"",$V32&lt;&gt;"")),AND($X32="no",$Y32&lt;&gt;""))))</f>
        <v/>
      </c>
      <c r="AI32">
        <f>IF(COUNTA($A32:$AA32)=0,"",COUNTIF($AB32:$AH32,TRUE))</f>
        <v/>
      </c>
      <c r="AJ32">
        <f>IF(COUNTA($A32:$AA32)=0,"",$AI32&gt;0)</f>
        <v/>
      </c>
    </row>
    <row r="33">
      <c r="AB33">
        <f>IF(COUNTA($A33:$AA33)=0,"",AND($K33="yes",OR((COUNTBLANK($E33:$J33)+COUNTBLANK($L33:$P33)+COUNTBLANK($W33:$X33)+COUNTBLANK($AA33))&gt;0,AND($P33="yes",(COUNTBLANK($Q33:$R33)+COUNTBLANK($S33:$V33))&gt;0),AND($X33="yes",$Y33=""))))</f>
        <v/>
      </c>
      <c r="AC33">
        <f>IF(COUNTA($A33:$AA33)=0,"",AND($B33&lt;&gt;"",COUNTIF($B$3:$B$33,$B33)&gt;1))</f>
        <v/>
      </c>
      <c r="AD33">
        <f>IF(COUNTA($A33:$AA33)=0,"",OR($C33&lt;&gt;"yes",AND($E33&lt;&gt;"",ISNA(MATCH($E33,ValidRounds,0))),AND($H33&lt;&gt;"",ISNA(MATCH($H33,ValidRegions,0))),AND($I33&lt;&gt;"",ISNA(MATCH($I33,ValidSites,0))),AND($J33&lt;&gt;"",ISNA(MATCH($J33,ValidEnumerators,0))),AND($K33&lt;&gt;"",ISNA(MATCH($K33,ValidYesNo,0))),AND($L33&lt;&gt;"",ISNA(MATCH($L33,ValidAgeGroups,0))),AND($M33&lt;&gt;"",ISNA(MATCH($M33,ValidGenders,0))),AND($O33&lt;&gt;"",ISNA(MATCH($O33,ValidYesNo,0))),AND($P33&lt;&gt;"",ISNA(MATCH($P33,ValidYesNo,0))),AND($R33&lt;&gt;"",ISNA(MATCH($R33,ValidTopics,0))),AND($V33&lt;&gt;"",ISNA(MATCH($V33,ValidYesNo,0))),AND($X33&lt;&gt;"",ISNA(MATCH($X33,ValidYesNo,0))),AND($Y33&lt;&gt;"",ISNA(MATCH($Y33,ValidChannels,0)))))</f>
        <v/>
      </c>
      <c r="AE33">
        <f>IF(COUNTA($A33:$AA33)=0,"",AND($K33="yes",OR(AND($F33&lt;&gt;"",OR($F33&lt;SurveyStart,$F33&gt;SurveyEnd)),AND($G33&lt;&gt;"",$F33&lt;&gt;"",$G33&gt;$F33),AND($P33="yes",$Q33&lt;&gt;"",$G33&lt;&gt;"",$Q33&lt;$G33),AND($P33="yes",$Q33&lt;&gt;"",$F33&lt;&gt;"",$Q33&gt;$F33))))</f>
        <v/>
      </c>
      <c r="AF33">
        <f>IF(COUNTA($A33:$AA33)=0,"",AND($K33="yes",OR(AND($N33&lt;&gt;"",OR($N33&lt;HouseholdMin,$N33&gt;HouseholdMax)),AND($S33&lt;&gt;"",OR($S33&lt;ScoreMin,$S33&gt;ScoreMax)),AND($T33&lt;&gt;"",OR($T33&lt;ScoreMin,$T33&gt;ScoreMax)),AND($U33&lt;&gt;"",OR($U33&lt;ScoreMin,$U33&gt;ScoreMax)),AND($W33&lt;&gt;"",OR($W33&lt;ScoreMin,$W33&gt;ScoreMax)),AND($AA33&lt;&gt;"",OR($AA33&lt;CompletionMin,$AA33&gt;CompletionMax)))))</f>
        <v/>
      </c>
      <c r="AG33">
        <f>IF(COUNTA($A33:$AA33)=0,"",AND($K33="yes",$H33&lt;&gt;"",$I33&lt;&gt;"",IFERROR(INDEX(SiteRegionList,MATCH($I33,SiteList,0)),"")&lt;&gt;$H33))</f>
        <v/>
      </c>
      <c r="AH33">
        <f>IF(COUNTA($A33:$AA33)=0,"",AND($K33="yes",OR(AND($P33="no",OR($Q33&lt;&gt;"",$R33&lt;&gt;"",$S33&lt;&gt;"",$T33&lt;&gt;"",$U33&lt;&gt;"",$V33&lt;&gt;"")),AND($X33="no",$Y33&lt;&gt;""))))</f>
        <v/>
      </c>
      <c r="AI33">
        <f>IF(COUNTA($A33:$AA33)=0,"",COUNTIF($AB33:$AH33,TRUE))</f>
        <v/>
      </c>
      <c r="AJ33">
        <f>IF(COUNTA($A33:$AA33)=0,"",$AI33&gt;0)</f>
        <v/>
      </c>
    </row>
  </sheetData>
  <mergeCells count="1">
    <mergeCell ref="A1:AJ1"/>
  </mergeCells>
  <conditionalFormatting sqref="A3:AA33">
    <cfRule type="expression" priority="1" dxfId="0">
      <formula>$AJ3=TRUE</formula>
    </cfRule>
  </conditionalFormatting>
  <conditionalFormatting sqref="AB3:AH33">
    <cfRule type="expression" priority="2" dxfId="1">
      <formula>AB3=TRUE</formula>
    </cfRule>
  </conditionalFormatting>
  <dataValidations count="20">
    <dataValidation sqref="E3:E33" showDropDown="0" showInputMessage="0" showErrorMessage="0" allowBlank="1" errorTitle="Invalid code" error="Choose a value from the survey_round list." prompt="Select a valid survey_round." type="list">
      <formula1>ValidRounds</formula1>
    </dataValidation>
    <dataValidation sqref="H3:H33" showDropDown="0" showInputMessage="0" showErrorMessage="0" allowBlank="1" errorTitle="Invalid code" error="Choose a value from the region_code list." prompt="Select a valid region_code." type="list">
      <formula1>ValidRegions</formula1>
    </dataValidation>
    <dataValidation sqref="I3:I33" showDropDown="0" showInputMessage="0" showErrorMessage="0" allowBlank="1" errorTitle="Invalid code" error="Choose a value from the site_code list." prompt="Select a valid site_code." type="list">
      <formula1>ValidSites</formula1>
    </dataValidation>
    <dataValidation sqref="J3:J33" showDropDown="0" showInputMessage="0" showErrorMessage="0" allowBlank="1" errorTitle="Invalid code" error="Choose a value from the enumerator_code list." prompt="Select a valid enumerator_code." type="list">
      <formula1>ValidEnumerators</formula1>
    </dataValidation>
    <dataValidation sqref="K3:K33" showDropDown="0" showInputMessage="0" showErrorMessage="0" allowBlank="1" errorTitle="Invalid code" error="Choose a value from the consent list." prompt="Select a valid consent." type="list">
      <formula1>ValidYesNo</formula1>
    </dataValidation>
    <dataValidation sqref="L3:L33" showDropDown="0" showInputMessage="0" showErrorMessage="0" allowBlank="1" errorTitle="Invalid code" error="Choose a value from the age_group list." prompt="Select a valid age_group." type="list">
      <formula1>ValidAgeGroups</formula1>
    </dataValidation>
    <dataValidation sqref="M3:M33" showDropDown="0" showInputMessage="0" showErrorMessage="0" allowBlank="1" errorTitle="Invalid code" error="Choose a value from the gender list." prompt="Select a valid gender." type="list">
      <formula1>ValidGenders</formula1>
    </dataValidation>
    <dataValidation sqref="O3:O33" showDropDown="0" showInputMessage="0" showErrorMessage="0" allowBlank="1" errorTitle="Invalid code" error="Choose a value from the disability_access list." prompt="Select a valid disability_access." type="list">
      <formula1>ValidYesNo</formula1>
    </dataValidation>
    <dataValidation sqref="P3:P33" showDropDown="0" showInputMessage="0" showErrorMessage="0" allowBlank="1" errorTitle="Invalid code" error="Choose a value from the participated_training list." prompt="Select a valid participated_training." type="list">
      <formula1>ValidYesNo</formula1>
    </dataValidation>
    <dataValidation sqref="R3:R33" showDropDown="0" showInputMessage="0" showErrorMessage="0" allowBlank="1" errorTitle="Invalid code" error="Choose a value from the training_topic list." prompt="Select a valid training_topic." type="list">
      <formula1>ValidTopics</formula1>
    </dataValidation>
    <dataValidation sqref="V3:V33" showDropDown="0" showInputMessage="0" showErrorMessage="0" allowBlank="1" errorTitle="Invalid code" error="Choose a value from the used_skill list." prompt="Select a valid used_skill." type="list">
      <formula1>ValidYesNo</formula1>
    </dataValidation>
    <dataValidation sqref="X3:X33" showDropDown="0" showInputMessage="0" showErrorMessage="0" allowBlank="1" errorTitle="Invalid code" error="Choose a value from the follow_up_requested list." prompt="Select a valid follow_up_requested." type="list">
      <formula1>ValidYesNo</formula1>
    </dataValidation>
    <dataValidation sqref="Y3:Y33" showDropDown="0" showInputMessage="0" showErrorMessage="0" allowBlank="1" errorTitle="Invalid code" error="Choose a value from the preferred_channel list." prompt="Select a valid preferred_channel." type="list">
      <formula1>ValidChannels</formula1>
    </dataValidation>
    <dataValidation sqref="N3:N33" showDropDown="0" showInputMessage="0" showErrorMessage="0" allowBlank="1" errorTitle="Out of range" error="household_size must be between the configured bounds." type="whole" operator="between">
      <formula1>HouseholdMin</formula1>
      <formula2>HouseholdMax</formula2>
    </dataValidation>
    <dataValidation sqref="S3:S33" showDropDown="0" showInputMessage="0" showErrorMessage="0" allowBlank="1" errorTitle="Out of range" error="satisfaction_score must be between the configured bounds." type="whole" operator="between">
      <formula1>ScoreMin</formula1>
      <formula2>ScoreMax</formula2>
    </dataValidation>
    <dataValidation sqref="T3:T33" showDropDown="0" showInputMessage="0" showErrorMessage="0" allowBlank="1" errorTitle="Out of range" error="knowledge_before must be between the configured bounds." type="whole" operator="between">
      <formula1>ScoreMin</formula1>
      <formula2>ScoreMax</formula2>
    </dataValidation>
    <dataValidation sqref="U3:U33" showDropDown="0" showInputMessage="0" showErrorMessage="0" allowBlank="1" errorTitle="Out of range" error="knowledge_after must be between the configured bounds." type="whole" operator="between">
      <formula1>ScoreMin</formula1>
      <formula2>ScoreMax</formula2>
    </dataValidation>
    <dataValidation sqref="W3:W33" showDropDown="0" showInputMessage="0" showErrorMessage="0" allowBlank="1" errorTitle="Out of range" error="service_access must be between the configured bounds." type="whole" operator="between">
      <formula1>ScoreMin</formula1>
      <formula2>ScoreMax</formula2>
    </dataValidation>
    <dataValidation sqref="AA3:AA33" showDropDown="0" showInputMessage="0" showErrorMessage="0" allowBlank="1" errorTitle="Out of range" error="completion_minutes must be within the configured bounds." type="decimal" operator="between">
      <formula1>CompletionMin</formula1>
      <formula2>CompletionMax</formula2>
    </dataValidation>
    <dataValidation sqref="F3:F33" showDropDown="0" showInputMessage="0" showErrorMessage="0" allowBlank="1" errorTitle="Date outside window" error="interview_date must fall inside the survey window." type="date" operator="between">
      <formula1>SurveyStart</formula1>
      <formula2>SurveyEnd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SYNTHETIC DATA - NOT REAL PEOPLE OR PROGRAMME OPERATIONS  |  reflects the Entry_Demo sample only; full 420-row monitoring uses the Power Query pivots (see excel/README.md)</t>
        </is>
      </c>
    </row>
    <row r="2">
      <c r="A2" s="4" t="inlineStr">
        <is>
          <t>Region</t>
        </is>
      </c>
      <c r="B2" s="4" t="inlineStr">
        <is>
          <t>Round 1</t>
        </is>
      </c>
      <c r="C2" s="4" t="inlineStr">
        <is>
          <t>Round 2</t>
        </is>
      </c>
      <c r="D2" s="4" t="inlineStr">
        <is>
          <t>Total responses</t>
        </is>
      </c>
      <c r="E2" s="4" t="inlineStr">
        <is>
          <t>Participated</t>
        </is>
      </c>
      <c r="F2" s="4" t="inlineStr">
        <is>
          <t>Mean satisfaction</t>
        </is>
      </c>
    </row>
    <row r="3">
      <c r="A3" t="inlineStr">
        <is>
          <t>NORTH</t>
        </is>
      </c>
      <c r="B3">
        <f>COUNTIFS(Entry_Demo!$H$3:$H$33,$A3,Entry_Demo!$E$3:$E$33,"ROUND_1")</f>
        <v/>
      </c>
      <c r="C3">
        <f>COUNTIFS(Entry_Demo!$H$3:$H$33,$A3,Entry_Demo!$E$3:$E$33,"ROUND_2")</f>
        <v/>
      </c>
      <c r="D3">
        <f>B3+C3</f>
        <v/>
      </c>
      <c r="E3">
        <f>COUNTIFS(Entry_Demo!$H$3:$H$33,$A3,Entry_Demo!$P$3:$P$33,"yes")</f>
        <v/>
      </c>
      <c r="F3">
        <f>IFERROR(AVERAGEIFS(Entry_Demo!$S$3:$S$33,Entry_Demo!$H$3:$H$33,$A3,Entry_Demo!$S$3:$S$33,"&gt;0"),"n/a")</f>
        <v/>
      </c>
    </row>
    <row r="4">
      <c r="A4" t="inlineStr">
        <is>
          <t>SOUTH</t>
        </is>
      </c>
      <c r="B4">
        <f>COUNTIFS(Entry_Demo!$H$3:$H$33,$A4,Entry_Demo!$E$3:$E$33,"ROUND_1")</f>
        <v/>
      </c>
      <c r="C4">
        <f>COUNTIFS(Entry_Demo!$H$3:$H$33,$A4,Entry_Demo!$E$3:$E$33,"ROUND_2")</f>
        <v/>
      </c>
      <c r="D4">
        <f>B4+C4</f>
        <v/>
      </c>
      <c r="E4">
        <f>COUNTIFS(Entry_Demo!$H$3:$H$33,$A4,Entry_Demo!$P$3:$P$33,"yes")</f>
        <v/>
      </c>
      <c r="F4">
        <f>IFERROR(AVERAGEIFS(Entry_Demo!$S$3:$S$33,Entry_Demo!$H$3:$H$33,$A4,Entry_Demo!$S$3:$S$33,"&gt;0"),"n/a")</f>
        <v/>
      </c>
    </row>
    <row r="5">
      <c r="A5" t="inlineStr">
        <is>
          <t>EAST</t>
        </is>
      </c>
      <c r="B5">
        <f>COUNTIFS(Entry_Demo!$H$3:$H$33,$A5,Entry_Demo!$E$3:$E$33,"ROUND_1")</f>
        <v/>
      </c>
      <c r="C5">
        <f>COUNTIFS(Entry_Demo!$H$3:$H$33,$A5,Entry_Demo!$E$3:$E$33,"ROUND_2")</f>
        <v/>
      </c>
      <c r="D5">
        <f>B5+C5</f>
        <v/>
      </c>
      <c r="E5">
        <f>COUNTIFS(Entry_Demo!$H$3:$H$33,$A5,Entry_Demo!$P$3:$P$33,"yes")</f>
        <v/>
      </c>
      <c r="F5">
        <f>IFERROR(AVERAGEIFS(Entry_Demo!$S$3:$S$33,Entry_Demo!$H$3:$H$33,$A5,Entry_Demo!$S$3:$S$33,"&gt;0"),"n/a")</f>
        <v/>
      </c>
    </row>
    <row r="6">
      <c r="A6" t="inlineStr">
        <is>
          <t>WEST</t>
        </is>
      </c>
      <c r="B6">
        <f>COUNTIFS(Entry_Demo!$H$3:$H$33,$A6,Entry_Demo!$E$3:$E$33,"ROUND_1")</f>
        <v/>
      </c>
      <c r="C6">
        <f>COUNTIFS(Entry_Demo!$H$3:$H$33,$A6,Entry_Demo!$E$3:$E$33,"ROUND_2")</f>
        <v/>
      </c>
      <c r="D6">
        <f>B6+C6</f>
        <v/>
      </c>
      <c r="E6">
        <f>COUNTIFS(Entry_Demo!$H$3:$H$33,$A6,Entry_Demo!$P$3:$P$33,"yes")</f>
        <v/>
      </c>
      <c r="F6">
        <f>IFERROR(AVERAGEIFS(Entry_Demo!$S$3:$S$33,Entry_Demo!$H$3:$H$33,$A6,Entry_Demo!$S$3:$S$33,"&gt;0"),"n/a")</f>
        <v/>
      </c>
    </row>
    <row r="7">
      <c r="A7" s="9" t="inlineStr">
        <is>
          <t>All regions</t>
        </is>
      </c>
      <c r="B7" s="9">
        <f>SUM(B3:B6)</f>
        <v/>
      </c>
      <c r="C7" s="9">
        <f>SUM(C3:C6)</f>
        <v/>
      </c>
      <c r="D7" s="9">
        <f>SUM(D3:D6)</f>
        <v/>
      </c>
      <c r="E7" s="9">
        <f>SUM(E3:E6)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</cp:coreProperties>
</file>