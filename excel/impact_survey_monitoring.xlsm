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codeName="ThisWorkbook"/>
  <xr:revisionPtr revIDLastSave="0" documentId="13_ncr:1_{93179EE7-A8A0-420D-AD9D-BCDEF0BAE720}" xr6:coauthVersionLast="47" xr6:coauthVersionMax="47" xr10:uidLastSave="{00000000-0000-0000-0000-000000000000}"/>
  <bookViews>
    <workbookView xWindow="-108" yWindow="-108" windowWidth="23256" windowHeight="12456" firstSheet="4" activeTab="9" xr2:uid="{00000000-000D-0000-FFFF-FFFF00000000}"/>
  </bookViews>
  <sheets>
    <sheet name="Pivot_Satisfaction" sheetId="9" r:id="rId1"/>
    <sheet name="Pivot_Region_Round" sheetId="8" r:id="rId2"/>
    <sheet name="SurveyData" sheetId="7" r:id="rId3"/>
    <sheet name="Start_Here" sheetId="1" r:id="rId4"/>
    <sheet name="Config" sheetId="2" r:id="rId5"/>
    <sheet name="Lookups" sheetId="3" r:id="rId6"/>
    <sheet name="QC_Rules" sheetId="4" r:id="rId7"/>
    <sheet name="Entry_Demo" sheetId="5" r:id="rId8"/>
    <sheet name="MonitoringSummary" sheetId="6" r:id="rId9"/>
    <sheet name="QC_Export" sheetId="10" r:id="rId10"/>
  </sheets>
  <definedNames>
    <definedName name="CompletionMax">Config!$B$13</definedName>
    <definedName name="CompletionMin">Config!$B$12</definedName>
    <definedName name="ExpectedRowCount">Config!$B$4</definedName>
    <definedName name="ExternalData_1" localSheetId="2" hidden="1">SurveyData!$A$1:$AE$421</definedName>
    <definedName name="HouseholdMax">Config!$B$9</definedName>
    <definedName name="HouseholdMin">Config!$B$8</definedName>
    <definedName name="RawDataPath">Config!$B$3</definedName>
    <definedName name="ReferenceDate">Config!$B$7</definedName>
    <definedName name="ScoreMax">Config!$B$11</definedName>
    <definedName name="ScoreMin">Config!$B$10</definedName>
    <definedName name="SiteList">Lookups!$C$3:$C$14</definedName>
    <definedName name="SiteRegionList">Lookups!$D$3:$D$14</definedName>
    <definedName name="SurveyEnd">Config!$B$6</definedName>
    <definedName name="SurveyStart">Config!$B$5</definedName>
    <definedName name="ValidAgeGroups">Lookups!$G$3:$G$7</definedName>
    <definedName name="ValidChannels">Lookups!$J$3:$J$6</definedName>
    <definedName name="ValidEnumerators">Lookups!$K$3:$K$10</definedName>
    <definedName name="ValidGenders">Lookups!$H$3:$H$6</definedName>
    <definedName name="ValidRegions">Lookups!$A$3:$A$6</definedName>
    <definedName name="ValidRounds">Lookups!$E$3:$E$4</definedName>
    <definedName name="ValidSites">Lookups!$C$3:$C$14</definedName>
    <definedName name="ValidTopics">Lookups!$I$3:$I$6</definedName>
    <definedName name="ValidYesNo">Lookups!$F$3:$F$4</definedName>
  </definedNames>
  <calcPr calcId="191029"/>
  <pivotCaches>
    <pivotCache cacheId="0" r:id="rId11"/>
    <pivotCache cacheId="1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6" l="1"/>
  <c r="E6" i="6"/>
  <c r="C6" i="6"/>
  <c r="B6" i="6"/>
  <c r="D6" i="6" s="1"/>
  <c r="F5" i="6"/>
  <c r="E5" i="6"/>
  <c r="C5" i="6"/>
  <c r="B5" i="6"/>
  <c r="F4" i="6"/>
  <c r="E4" i="6"/>
  <c r="C4" i="6"/>
  <c r="B4" i="6"/>
  <c r="D4" i="6" s="1"/>
  <c r="F3" i="6"/>
  <c r="E3" i="6"/>
  <c r="C3" i="6"/>
  <c r="B3" i="6"/>
  <c r="AJ33" i="5"/>
  <c r="AI33" i="5"/>
  <c r="AH33" i="5"/>
  <c r="AG33" i="5"/>
  <c r="AF33" i="5"/>
  <c r="AE33" i="5"/>
  <c r="AD33" i="5"/>
  <c r="AC33" i="5"/>
  <c r="AB33" i="5"/>
  <c r="AJ32" i="5"/>
  <c r="AI32" i="5"/>
  <c r="AH32" i="5"/>
  <c r="AG32" i="5"/>
  <c r="AF32" i="5"/>
  <c r="AE32" i="5"/>
  <c r="AD32" i="5"/>
  <c r="AC32" i="5"/>
  <c r="AB32" i="5"/>
  <c r="AJ31" i="5"/>
  <c r="AI31" i="5"/>
  <c r="AH31" i="5"/>
  <c r="AG31" i="5"/>
  <c r="AF31" i="5"/>
  <c r="AE31" i="5"/>
  <c r="AD31" i="5"/>
  <c r="AC31" i="5"/>
  <c r="AB31" i="5"/>
  <c r="AJ30" i="5"/>
  <c r="AI30" i="5"/>
  <c r="AH30" i="5"/>
  <c r="AG30" i="5"/>
  <c r="AF30" i="5"/>
  <c r="AE30" i="5"/>
  <c r="AD30" i="5"/>
  <c r="AC30" i="5"/>
  <c r="AB30" i="5"/>
  <c r="AJ29" i="5"/>
  <c r="AI29" i="5"/>
  <c r="AH29" i="5"/>
  <c r="AG29" i="5"/>
  <c r="AF29" i="5"/>
  <c r="AE29" i="5"/>
  <c r="AD29" i="5"/>
  <c r="AC29" i="5"/>
  <c r="AB29" i="5"/>
  <c r="AJ28" i="5"/>
  <c r="AI28" i="5"/>
  <c r="AH28" i="5"/>
  <c r="AG28" i="5"/>
  <c r="AF28" i="5"/>
  <c r="AE28" i="5"/>
  <c r="AD28" i="5"/>
  <c r="AC28" i="5"/>
  <c r="AB28" i="5"/>
  <c r="AJ27" i="5"/>
  <c r="AI27" i="5"/>
  <c r="AH27" i="5"/>
  <c r="AG27" i="5"/>
  <c r="AF27" i="5"/>
  <c r="AE27" i="5"/>
  <c r="AD27" i="5"/>
  <c r="AC27" i="5"/>
  <c r="AB27" i="5"/>
  <c r="AJ26" i="5"/>
  <c r="AI26" i="5"/>
  <c r="AH26" i="5"/>
  <c r="AG26" i="5"/>
  <c r="AF26" i="5"/>
  <c r="AE26" i="5"/>
  <c r="AD26" i="5"/>
  <c r="AC26" i="5"/>
  <c r="AB26" i="5"/>
  <c r="AJ25" i="5"/>
  <c r="AI25" i="5"/>
  <c r="AH25" i="5"/>
  <c r="AG25" i="5"/>
  <c r="AF25" i="5"/>
  <c r="AE25" i="5"/>
  <c r="AD25" i="5"/>
  <c r="AC25" i="5"/>
  <c r="AB25" i="5"/>
  <c r="AJ24" i="5"/>
  <c r="AI24" i="5"/>
  <c r="AH24" i="5"/>
  <c r="AG24" i="5"/>
  <c r="AF24" i="5"/>
  <c r="AE24" i="5"/>
  <c r="AD24" i="5"/>
  <c r="AC24" i="5"/>
  <c r="AB24" i="5"/>
  <c r="AJ23" i="5"/>
  <c r="AI23" i="5"/>
  <c r="AH23" i="5"/>
  <c r="AG23" i="5"/>
  <c r="AF23" i="5"/>
  <c r="AE23" i="5"/>
  <c r="AD23" i="5"/>
  <c r="AC23" i="5"/>
  <c r="AB23" i="5"/>
  <c r="AJ22" i="5"/>
  <c r="AI22" i="5"/>
  <c r="AH22" i="5"/>
  <c r="AG22" i="5"/>
  <c r="AF22" i="5"/>
  <c r="AE22" i="5"/>
  <c r="AD22" i="5"/>
  <c r="AC22" i="5"/>
  <c r="AB22" i="5"/>
  <c r="AJ21" i="5"/>
  <c r="AI21" i="5"/>
  <c r="AH21" i="5"/>
  <c r="AG21" i="5"/>
  <c r="AF21" i="5"/>
  <c r="AE21" i="5"/>
  <c r="AD21" i="5"/>
  <c r="AC21" i="5"/>
  <c r="AB21" i="5"/>
  <c r="AJ20" i="5"/>
  <c r="AI20" i="5"/>
  <c r="AH20" i="5"/>
  <c r="AG20" i="5"/>
  <c r="AF20" i="5"/>
  <c r="AE20" i="5"/>
  <c r="AD20" i="5"/>
  <c r="AC20" i="5"/>
  <c r="AB20" i="5"/>
  <c r="AJ19" i="5"/>
  <c r="AI19" i="5"/>
  <c r="AH19" i="5"/>
  <c r="AG19" i="5"/>
  <c r="AF19" i="5"/>
  <c r="AE19" i="5"/>
  <c r="AD19" i="5"/>
  <c r="AC19" i="5"/>
  <c r="AB19" i="5"/>
  <c r="AJ18" i="5"/>
  <c r="AI18" i="5"/>
  <c r="AH18" i="5"/>
  <c r="AG18" i="5"/>
  <c r="AF18" i="5"/>
  <c r="AE18" i="5"/>
  <c r="AD18" i="5"/>
  <c r="AC18" i="5"/>
  <c r="AB18" i="5"/>
  <c r="AJ17" i="5"/>
  <c r="AI17" i="5"/>
  <c r="AH17" i="5"/>
  <c r="AG17" i="5"/>
  <c r="AF17" i="5"/>
  <c r="AE17" i="5"/>
  <c r="AD17" i="5"/>
  <c r="AC17" i="5"/>
  <c r="AB17" i="5"/>
  <c r="AJ16" i="5"/>
  <c r="AI16" i="5"/>
  <c r="AH16" i="5"/>
  <c r="AG16" i="5"/>
  <c r="AF16" i="5"/>
  <c r="AE16" i="5"/>
  <c r="AD16" i="5"/>
  <c r="AC16" i="5"/>
  <c r="AB16" i="5"/>
  <c r="AJ15" i="5"/>
  <c r="AI15" i="5"/>
  <c r="AH15" i="5"/>
  <c r="AG15" i="5"/>
  <c r="AF15" i="5"/>
  <c r="AE15" i="5"/>
  <c r="AD15" i="5"/>
  <c r="AC15" i="5"/>
  <c r="AB15" i="5"/>
  <c r="AJ14" i="5"/>
  <c r="AI14" i="5"/>
  <c r="AH14" i="5"/>
  <c r="AG14" i="5"/>
  <c r="AF14" i="5"/>
  <c r="AE14" i="5"/>
  <c r="AD14" i="5"/>
  <c r="AC14" i="5"/>
  <c r="AB14" i="5"/>
  <c r="AH13" i="5"/>
  <c r="AG13" i="5"/>
  <c r="AF13" i="5"/>
  <c r="AE13" i="5"/>
  <c r="AD13" i="5"/>
  <c r="AC13" i="5"/>
  <c r="AB13" i="5"/>
  <c r="AH12" i="5"/>
  <c r="AG12" i="5"/>
  <c r="AF12" i="5"/>
  <c r="AE12" i="5"/>
  <c r="AD12" i="5"/>
  <c r="AC12" i="5"/>
  <c r="AB12" i="5"/>
  <c r="AH11" i="5"/>
  <c r="AG11" i="5"/>
  <c r="AF11" i="5"/>
  <c r="AE11" i="5"/>
  <c r="AD11" i="5"/>
  <c r="AC11" i="5"/>
  <c r="AI11" i="5" s="1"/>
  <c r="AJ11" i="5" s="1"/>
  <c r="AB11" i="5"/>
  <c r="AH10" i="5"/>
  <c r="AG10" i="5"/>
  <c r="AF10" i="5"/>
  <c r="AE10" i="5"/>
  <c r="AD10" i="5"/>
  <c r="AC10" i="5"/>
  <c r="AI10" i="5" s="1"/>
  <c r="AJ10" i="5" s="1"/>
  <c r="AB10" i="5"/>
  <c r="AH9" i="5"/>
  <c r="AG9" i="5"/>
  <c r="AF9" i="5"/>
  <c r="AE9" i="5"/>
  <c r="AI9" i="5" s="1"/>
  <c r="AJ9" i="5" s="1"/>
  <c r="AD9" i="5"/>
  <c r="AC9" i="5"/>
  <c r="AB9" i="5"/>
  <c r="AH8" i="5"/>
  <c r="AG8" i="5"/>
  <c r="AF8" i="5"/>
  <c r="AE8" i="5"/>
  <c r="AD8" i="5"/>
  <c r="AC8" i="5"/>
  <c r="AB8" i="5"/>
  <c r="AH7" i="5"/>
  <c r="AG7" i="5"/>
  <c r="AF7" i="5"/>
  <c r="AE7" i="5"/>
  <c r="AD7" i="5"/>
  <c r="AC7" i="5"/>
  <c r="AB7" i="5"/>
  <c r="AH6" i="5"/>
  <c r="AG6" i="5"/>
  <c r="AF6" i="5"/>
  <c r="AE6" i="5"/>
  <c r="AD6" i="5"/>
  <c r="AC6" i="5"/>
  <c r="AI6" i="5" s="1"/>
  <c r="AJ6" i="5" s="1"/>
  <c r="AB6" i="5"/>
  <c r="AH5" i="5"/>
  <c r="AG5" i="5"/>
  <c r="AF5" i="5"/>
  <c r="AE5" i="5"/>
  <c r="AD5" i="5"/>
  <c r="AC5" i="5"/>
  <c r="AI5" i="5" s="1"/>
  <c r="AJ5" i="5" s="1"/>
  <c r="AB5" i="5"/>
  <c r="AH4" i="5"/>
  <c r="AG4" i="5"/>
  <c r="AF4" i="5"/>
  <c r="AE4" i="5"/>
  <c r="AD4" i="5"/>
  <c r="AC4" i="5"/>
  <c r="AB4" i="5"/>
  <c r="AH3" i="5"/>
  <c r="AG3" i="5"/>
  <c r="AF3" i="5"/>
  <c r="AE3" i="5"/>
  <c r="AD3" i="5"/>
  <c r="AC3" i="5"/>
  <c r="AB3" i="5"/>
  <c r="AI3" i="5" s="1"/>
  <c r="AJ3" i="5" s="1"/>
  <c r="AI8" i="5" l="1"/>
  <c r="AJ8" i="5" s="1"/>
  <c r="AI7" i="5"/>
  <c r="AJ7" i="5" s="1"/>
  <c r="C7" i="6"/>
  <c r="AI4" i="5"/>
  <c r="AJ4" i="5" s="1"/>
  <c r="E7" i="6"/>
  <c r="AI12" i="5"/>
  <c r="AJ12" i="5" s="1"/>
  <c r="D5" i="6"/>
  <c r="B7" i="6"/>
  <c r="D3" i="6"/>
  <c r="AI13" i="5"/>
  <c r="AJ13" i="5" s="1"/>
  <c r="D7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B75251-BD34-4357-9A66-A32ED2F2EEE5}" keepAlive="1" name="Connection" type="5" refreshedVersion="8" saveData="1">
    <dbPr connection="Provider=Microsoft.Mashup.OleDb.1;Data Source=$Workbook$;Location=SurveyRaw;Extended Properties=" command="SELECT * FROM [SurveyRaw]"/>
  </connection>
</connections>
</file>

<file path=xl/sharedStrings.xml><?xml version="1.0" encoding="utf-8"?>
<sst xmlns="http://schemas.openxmlformats.org/spreadsheetml/2006/main" count="9674" uniqueCount="1035">
  <si>
    <t>SYNTHETIC DATA - NOT REAL PEOPLE OR PROGRAMME OPERATIONS</t>
  </si>
  <si>
    <t>What this is</t>
  </si>
  <si>
    <t>A reproducible monitoring workbook for the synthetic impact survey. Every value is fictional.</t>
  </si>
  <si>
    <t>Self-contained demo</t>
  </si>
  <si>
    <t>The Entry_Demo sheet already works: it carries a labelled sample and live QC formulas, data validation, and conditional formatting. Nothing needs wiring to inspect it.</t>
  </si>
  <si>
    <t>Full dataset</t>
  </si>
  <si>
    <t>To load all 420 rows, follow the numbered steps in excel/README.md: set the RawDataPath cell on Config, paste power_query/SurveyRaw.m into a Blank Query, then build the pivots.</t>
  </si>
  <si>
    <t>Automation</t>
  </si>
  <si>
    <t>vba/RefreshAndExportQC.bas refreshes everything and writes a timestamped QC export into excel/exports/.</t>
  </si>
  <si>
    <t>Parity</t>
  </si>
  <si>
    <t>The seven QC flags reproduce the R pipeline rules. See the QC_Rules sheet for the mapping.</t>
  </si>
  <si>
    <t>Honesty</t>
  </si>
  <si>
    <t>This file is not marked 'tested' until a person completes the checkpoint in docs/verification/excel_test_log.md.</t>
  </si>
  <si>
    <t>Parameter</t>
  </si>
  <si>
    <t>Value</t>
  </si>
  <si>
    <t>Notes</t>
  </si>
  <si>
    <t>Raw data path</t>
  </si>
  <si>
    <t>Set to the full path on your machine before loading the query.</t>
  </si>
  <si>
    <t>Expected row count</t>
  </si>
  <si>
    <t>Power Query and pivots should report this many rows.</t>
  </si>
  <si>
    <t>Survey start</t>
  </si>
  <si>
    <t>Earliest valid interview date.</t>
  </si>
  <si>
    <t>Survey end</t>
  </si>
  <si>
    <t>Latest valid interview date.</t>
  </si>
  <si>
    <t>Reference date</t>
  </si>
  <si>
    <t>Fixed analysis reference.</t>
  </si>
  <si>
    <t>Household minimum</t>
  </si>
  <si>
    <t>Valid household size lower bound.</t>
  </si>
  <si>
    <t>Household maximum</t>
  </si>
  <si>
    <t>Valid household size upper bound.</t>
  </si>
  <si>
    <t>Score minimum</t>
  </si>
  <si>
    <t>Valid 1-5 scale lower bound.</t>
  </si>
  <si>
    <t>Score maximum</t>
  </si>
  <si>
    <t>Valid 1-5 scale upper bound.</t>
  </si>
  <si>
    <t>Completion minutes minimum</t>
  </si>
  <si>
    <t>Valid interview duration floor.</t>
  </si>
  <si>
    <t>Completion minutes maximum</t>
  </si>
  <si>
    <t>Valid interview duration ceiling.</t>
  </si>
  <si>
    <t>SYNTHETIC DATA - NOT REAL PEOPLE OR PROGRAMME OPERATIONS  |  code lists generated from project_config</t>
  </si>
  <si>
    <t>Region</t>
  </si>
  <si>
    <t>Region label</t>
  </si>
  <si>
    <t>Site</t>
  </si>
  <si>
    <t>Site region</t>
  </si>
  <si>
    <t>Round</t>
  </si>
  <si>
    <t>Yes/No</t>
  </si>
  <si>
    <t>Age group</t>
  </si>
  <si>
    <t>Gender</t>
  </si>
  <si>
    <t>Training topic</t>
  </si>
  <si>
    <t>Preferred channel</t>
  </si>
  <si>
    <t>Enumerator</t>
  </si>
  <si>
    <t>NORTH</t>
  </si>
  <si>
    <t>North Region (fictional)</t>
  </si>
  <si>
    <t>N01</t>
  </si>
  <si>
    <t>ROUND_1</t>
  </si>
  <si>
    <t>yes</t>
  </si>
  <si>
    <t>18_24</t>
  </si>
  <si>
    <t>woman</t>
  </si>
  <si>
    <t>planning</t>
  </si>
  <si>
    <t>community_meeting</t>
  </si>
  <si>
    <t>ENUM_01</t>
  </si>
  <si>
    <t>SOUTH</t>
  </si>
  <si>
    <t>South Region (fictional)</t>
  </si>
  <si>
    <t>N02</t>
  </si>
  <si>
    <t>ROUND_2</t>
  </si>
  <si>
    <t>no</t>
  </si>
  <si>
    <t>25_34</t>
  </si>
  <si>
    <t>man</t>
  </si>
  <si>
    <t>financial_skills</t>
  </si>
  <si>
    <t>printed_material</t>
  </si>
  <si>
    <t>ENUM_02</t>
  </si>
  <si>
    <t>EAST</t>
  </si>
  <si>
    <t>East Region (fictional)</t>
  </si>
  <si>
    <t>N03</t>
  </si>
  <si>
    <t>35_44</t>
  </si>
  <si>
    <t>non_binary</t>
  </si>
  <si>
    <t>digital_skills</t>
  </si>
  <si>
    <t>radio</t>
  </si>
  <si>
    <t>ENUM_03</t>
  </si>
  <si>
    <t>WEST</t>
  </si>
  <si>
    <t>West Region (fictional)</t>
  </si>
  <si>
    <t>S01</t>
  </si>
  <si>
    <t>45_54</t>
  </si>
  <si>
    <t>prefer_not</t>
  </si>
  <si>
    <t>leadership</t>
  </si>
  <si>
    <t>none</t>
  </si>
  <si>
    <t>ENUM_04</t>
  </si>
  <si>
    <t>S02</t>
  </si>
  <si>
    <t>55_plus</t>
  </si>
  <si>
    <t>ENUM_05</t>
  </si>
  <si>
    <t>S03</t>
  </si>
  <si>
    <t>ENUM_06</t>
  </si>
  <si>
    <t>E01</t>
  </si>
  <si>
    <t>ENUM_07</t>
  </si>
  <si>
    <t>E02</t>
  </si>
  <si>
    <t>ENUM_08</t>
  </si>
  <si>
    <t>E03</t>
  </si>
  <si>
    <t>W01</t>
  </si>
  <si>
    <t>W02</t>
  </si>
  <si>
    <t>W03</t>
  </si>
  <si>
    <t>SYNTHETIC DATA - NOT REAL PEOPLE OR PROGRAMME OPERATIONS  |  Excel formulas mirror these R pipeline rules</t>
  </si>
  <si>
    <t>QC column</t>
  </si>
  <si>
    <t>Fields</t>
  </si>
  <si>
    <t>Rule</t>
  </si>
  <si>
    <t>Consent-gated</t>
  </si>
  <si>
    <t>qc_missing_required</t>
  </si>
  <si>
    <t>all required fields</t>
  </si>
  <si>
    <t>A required field is blank given the skip conditions.</t>
  </si>
  <si>
    <t>Yes</t>
  </si>
  <si>
    <t>qc_duplicate_response_id</t>
  </si>
  <si>
    <t>response_id</t>
  </si>
  <si>
    <t>response_id appears on more than one record.</t>
  </si>
  <si>
    <t>No</t>
  </si>
  <si>
    <t>qc_invalid_code</t>
  </si>
  <si>
    <t>coded fields</t>
  </si>
  <si>
    <t>A non-blank code is not in its allowed list.</t>
  </si>
  <si>
    <t>qc_date_consistency</t>
  </si>
  <si>
    <t>interview / start / training dates</t>
  </si>
  <si>
    <t>Interview outside the survey window, start after interview, or training outside the start-to-interview span.</t>
  </si>
  <si>
    <t>qc_out_of_range</t>
  </si>
  <si>
    <t>household, 1-5 scales, completion minutes</t>
  </si>
  <si>
    <t>A numeric value falls outside its documented bounds.</t>
  </si>
  <si>
    <t>qc_region_site_consistency</t>
  </si>
  <si>
    <t>region_code, site_code</t>
  </si>
  <si>
    <t>The site does not belong to the selected region.</t>
  </si>
  <si>
    <t>qc_skip_logic</t>
  </si>
  <si>
    <t>training / follow-up fields</t>
  </si>
  <si>
    <t>Fields are populated that the skip logic should leave blank.</t>
  </si>
  <si>
    <t>SYNTHETIC DATA - NOT REAL PEOPLE OR PROGRAMME OPERATIONS  |  sample rows 3-13 are known issues; rows below are yours to try</t>
  </si>
  <si>
    <t>submission_id</t>
  </si>
  <si>
    <t>synthetic_data</t>
  </si>
  <si>
    <t>survey_version</t>
  </si>
  <si>
    <t>survey_round</t>
  </si>
  <si>
    <t>interview_date</t>
  </si>
  <si>
    <t>program_start_date</t>
  </si>
  <si>
    <t>region_code</t>
  </si>
  <si>
    <t>site_code</t>
  </si>
  <si>
    <t>enumerator_code</t>
  </si>
  <si>
    <t>consent</t>
  </si>
  <si>
    <t>age_group</t>
  </si>
  <si>
    <t>gender</t>
  </si>
  <si>
    <t>household_size</t>
  </si>
  <si>
    <t>disability_access</t>
  </si>
  <si>
    <t>participated_training</t>
  </si>
  <si>
    <t>training_date</t>
  </si>
  <si>
    <t>training_topic</t>
  </si>
  <si>
    <t>satisfaction_score</t>
  </si>
  <si>
    <t>knowledge_before</t>
  </si>
  <si>
    <t>knowledge_after</t>
  </si>
  <si>
    <t>used_skill</t>
  </si>
  <si>
    <t>service_access</t>
  </si>
  <si>
    <t>follow_up_requested</t>
  </si>
  <si>
    <t>preferred_channel</t>
  </si>
  <si>
    <t>open_comment</t>
  </si>
  <si>
    <t>completion_minutes</t>
  </si>
  <si>
    <t>qc_issue_count</t>
  </si>
  <si>
    <t>qc_any_issue</t>
  </si>
  <si>
    <t>SUB-0064</t>
  </si>
  <si>
    <t>SYN-0064</t>
  </si>
  <si>
    <t>1.0.0</t>
  </si>
  <si>
    <t>SUB-0002</t>
  </si>
  <si>
    <t>SYN-0002</t>
  </si>
  <si>
    <t>SUB-0003</t>
  </si>
  <si>
    <t>SYN-0003</t>
  </si>
  <si>
    <t>SUB-0239</t>
  </si>
  <si>
    <t>SYN-0239</t>
  </si>
  <si>
    <t>SUB-DUP-001</t>
  </si>
  <si>
    <t>SUB-0116</t>
  </si>
  <si>
    <t>SYN-0116</t>
  </si>
  <si>
    <t>SUB-0192</t>
  </si>
  <si>
    <t>SYN-0192</t>
  </si>
  <si>
    <t>CENTRAL</t>
  </si>
  <si>
    <t>SUB-0009</t>
  </si>
  <si>
    <t>SYN-0009</t>
  </si>
  <si>
    <t>SUB-0001</t>
  </si>
  <si>
    <t>SYN-0001</t>
  </si>
  <si>
    <t>SUB-0197</t>
  </si>
  <si>
    <t>SYN-0197</t>
  </si>
  <si>
    <t>SUB-0033</t>
  </si>
  <si>
    <t>SYN-0033</t>
  </si>
  <si>
    <t>SYNTHETIC DATA - NOT REAL PEOPLE OR PROGRAMME OPERATIONS  |  reflects the Entry_Demo sample only; full 420-row monitoring uses the Power Query pivots (see excel/README.md)</t>
  </si>
  <si>
    <t>Round 1</t>
  </si>
  <si>
    <t>Round 2</t>
  </si>
  <si>
    <t>Total responses</t>
  </si>
  <si>
    <t>Participated</t>
  </si>
  <si>
    <t>Mean satisfaction</t>
  </si>
  <si>
    <t>All regions</t>
  </si>
  <si>
    <t>region_label</t>
  </si>
  <si>
    <t>round_label</t>
  </si>
  <si>
    <t>topic_label</t>
  </si>
  <si>
    <t>channel_label</t>
  </si>
  <si>
    <t/>
  </si>
  <si>
    <t>Digital skills</t>
  </si>
  <si>
    <t>UNMAPPED</t>
  </si>
  <si>
    <t>SUB-0021</t>
  </si>
  <si>
    <t>SYN-0021</t>
  </si>
  <si>
    <t>I would like more examples about budgeting and record keeping.</t>
  </si>
  <si>
    <t>Leadership</t>
  </si>
  <si>
    <t>SUB-0089</t>
  </si>
  <si>
    <t>SYN-0089</t>
  </si>
  <si>
    <t>SUB-0057</t>
  </si>
  <si>
    <t>SYN-0057</t>
  </si>
  <si>
    <t>Financial skills</t>
  </si>
  <si>
    <t>SUB-0190</t>
  </si>
  <si>
    <t>SYN-0190</t>
  </si>
  <si>
    <t>SUB-0108</t>
  </si>
  <si>
    <t>SYN-0108</t>
  </si>
  <si>
    <t>Travel to the meeting location was difficult during bad weather.</t>
  </si>
  <si>
    <t>Planning</t>
  </si>
  <si>
    <t>SUB-0304</t>
  </si>
  <si>
    <t>SYN-0304</t>
  </si>
  <si>
    <t>SUB-0237</t>
  </si>
  <si>
    <t>SYN-0237</t>
  </si>
  <si>
    <t>SUB-0011</t>
  </si>
  <si>
    <t>SYN-0011</t>
  </si>
  <si>
    <t>SUB-0198</t>
  </si>
  <si>
    <t>SYN-0198</t>
  </si>
  <si>
    <t>SUB-0097</t>
  </si>
  <si>
    <t>SYN-0097</t>
  </si>
  <si>
    <t>SUB-0020</t>
  </si>
  <si>
    <t>SYN-0020</t>
  </si>
  <si>
    <t>SUB-0131</t>
  </si>
  <si>
    <t>SYN-0131</t>
  </si>
  <si>
    <t>Community meeting</t>
  </si>
  <si>
    <t>SUB-0032</t>
  </si>
  <si>
    <t>SYN-0032</t>
  </si>
  <si>
    <t>SUB-0063</t>
  </si>
  <si>
    <t>SYN-0063</t>
  </si>
  <si>
    <t>SUB-0249</t>
  </si>
  <si>
    <t>SYN-0249</t>
  </si>
  <si>
    <t>SUB-0141</t>
  </si>
  <si>
    <t>SYN-0141</t>
  </si>
  <si>
    <t>SUB-0280</t>
  </si>
  <si>
    <t>SYN-0280</t>
  </si>
  <si>
    <t>SUB-0031</t>
  </si>
  <si>
    <t>SYN-0031</t>
  </si>
  <si>
    <t>SUB-DUP-006</t>
  </si>
  <si>
    <t>SYN-0305</t>
  </si>
  <si>
    <t>Radio</t>
  </si>
  <si>
    <t>SUB-0183</t>
  </si>
  <si>
    <t>SYN-0183</t>
  </si>
  <si>
    <t>SUB-0379</t>
  </si>
  <si>
    <t>SYN-0379</t>
  </si>
  <si>
    <t>The facilitator explained the topic clearly and respectfully.</t>
  </si>
  <si>
    <t>Printed material</t>
  </si>
  <si>
    <t>SUB-0382</t>
  </si>
  <si>
    <t>SYN-0382</t>
  </si>
  <si>
    <t>SUB-0259</t>
  </si>
  <si>
    <t>SYN-0259</t>
  </si>
  <si>
    <t>SUB-0360</t>
  </si>
  <si>
    <t>SYN-0360</t>
  </si>
  <si>
    <t>SUB-0396</t>
  </si>
  <si>
    <t>SYN-0396</t>
  </si>
  <si>
    <t>SUB-0028</t>
  </si>
  <si>
    <t>SYN-0028</t>
  </si>
  <si>
    <t>SUB-0389</t>
  </si>
  <si>
    <t>SYN-0389</t>
  </si>
  <si>
    <t>SUB-0331</t>
  </si>
  <si>
    <t>SYN-0331</t>
  </si>
  <si>
    <t>SUB-0224</t>
  </si>
  <si>
    <t>SYN-0224</t>
  </si>
  <si>
    <t>SUB-0152</t>
  </si>
  <si>
    <t>SYN-0152</t>
  </si>
  <si>
    <t>SUB-0242</t>
  </si>
  <si>
    <t>SYN-0242</t>
  </si>
  <si>
    <t>SUB-0284</t>
  </si>
  <si>
    <t>SYN-0284</t>
  </si>
  <si>
    <t>A location closer to the community would improve attendance.</t>
  </si>
  <si>
    <t>SUB-0090</t>
  </si>
  <si>
    <t>SYN-0090</t>
  </si>
  <si>
    <t>SUB-0088</t>
  </si>
  <si>
    <t>SYN-0088</t>
  </si>
  <si>
    <t>SUB-0105</t>
  </si>
  <si>
    <t>SYN-0105</t>
  </si>
  <si>
    <t>SUB-0346</t>
  </si>
  <si>
    <t>SYN-0346</t>
  </si>
  <si>
    <t>SUB-0165</t>
  </si>
  <si>
    <t>SYN-0165</t>
  </si>
  <si>
    <t>SUB-0126</t>
  </si>
  <si>
    <t>SYN-0126</t>
  </si>
  <si>
    <t>SUB-0145</t>
  </si>
  <si>
    <t>SYN-0145</t>
  </si>
  <si>
    <t>SUB-0308</t>
  </si>
  <si>
    <t>SYN-0308</t>
  </si>
  <si>
    <t>SUB-0359</t>
  </si>
  <si>
    <t>SYN-0359</t>
  </si>
  <si>
    <t>SUB-0004</t>
  </si>
  <si>
    <t>SYN-0004</t>
  </si>
  <si>
    <t>SUB-0287</t>
  </si>
  <si>
    <t>SYN-0287</t>
  </si>
  <si>
    <t>SUB-0055</t>
  </si>
  <si>
    <t>SYN-0055</t>
  </si>
  <si>
    <t>SUB-0142</t>
  </si>
  <si>
    <t>SYN-0142</t>
  </si>
  <si>
    <t>SUB-0148</t>
  </si>
  <si>
    <t>SYN-0148</t>
  </si>
  <si>
    <t>SUB-0194</t>
  </si>
  <si>
    <t>SYN-0194</t>
  </si>
  <si>
    <t>SUB-0100</t>
  </si>
  <si>
    <t>SYN-0100</t>
  </si>
  <si>
    <t>SUB-0210</t>
  </si>
  <si>
    <t>SYN-0210</t>
  </si>
  <si>
    <t>SUB-0042</t>
  </si>
  <si>
    <t>SYN-0042</t>
  </si>
  <si>
    <t>SUB-0281</t>
  </si>
  <si>
    <t>SYN-0281</t>
  </si>
  <si>
    <t>The activity should start earlier so participants can travel home safely.</t>
  </si>
  <si>
    <t>SUB-0228</t>
  </si>
  <si>
    <t>SYN-0228</t>
  </si>
  <si>
    <t>SUB-0223</t>
  </si>
  <si>
    <t>SYN-0223</t>
  </si>
  <si>
    <t>SUB-0120</t>
  </si>
  <si>
    <t>SYN-0120</t>
  </si>
  <si>
    <t>SUB-0209</t>
  </si>
  <si>
    <t>SYN-0209</t>
  </si>
  <si>
    <t>SUB-0191</t>
  </si>
  <si>
    <t>SYN-0191</t>
  </si>
  <si>
    <t>SUB-0163</t>
  </si>
  <si>
    <t>SYN-0163</t>
  </si>
  <si>
    <t>SUB-0317</t>
  </si>
  <si>
    <t>SYN-0317</t>
  </si>
  <si>
    <t>SUB-0247</t>
  </si>
  <si>
    <t>SYN-0247</t>
  </si>
  <si>
    <t>The group activities helped me learn from other participants.</t>
  </si>
  <si>
    <t>SUB-0295</t>
  </si>
  <si>
    <t>SYN-0295</t>
  </si>
  <si>
    <t>SUB-0282</t>
  </si>
  <si>
    <t>SYN-0282</t>
  </si>
  <si>
    <t>I have already used one of the planning tools from the session.</t>
  </si>
  <si>
    <t>SUB-0019</t>
  </si>
  <si>
    <t>SYN-0019</t>
  </si>
  <si>
    <t>SUB-0196</t>
  </si>
  <si>
    <t>SYN-0196</t>
  </si>
  <si>
    <t>SUB-0257</t>
  </si>
  <si>
    <t>SYN-0257</t>
  </si>
  <si>
    <t>SUB-0366</t>
  </si>
  <si>
    <t>SYN-0366</t>
  </si>
  <si>
    <t>SUB-0050</t>
  </si>
  <si>
    <t>SYN-0050</t>
  </si>
  <si>
    <t>SUB-0160</t>
  </si>
  <si>
    <t>SYN-0160</t>
  </si>
  <si>
    <t>SUB-0038</t>
  </si>
  <si>
    <t>SYN-0038</t>
  </si>
  <si>
    <t>SUB-0327</t>
  </si>
  <si>
    <t>SYN-0327</t>
  </si>
  <si>
    <t>SUB-0339</t>
  </si>
  <si>
    <t>SYN-0339</t>
  </si>
  <si>
    <t>SUB-0277</t>
  </si>
  <si>
    <t>SYN-0277</t>
  </si>
  <si>
    <t>SUB-0328</t>
  </si>
  <si>
    <t>SYN-0328</t>
  </si>
  <si>
    <t>SUB-0278</t>
  </si>
  <si>
    <t>SYN-0278</t>
  </si>
  <si>
    <t>SUB-0168</t>
  </si>
  <si>
    <t>SYN-0168</t>
  </si>
  <si>
    <t>SUB-0274</t>
  </si>
  <si>
    <t>SYN-0274</t>
  </si>
  <si>
    <t>SUB-0178</t>
  </si>
  <si>
    <t>SYN-0178</t>
  </si>
  <si>
    <t>A follow-up session on digital tools would be helpful.</t>
  </si>
  <si>
    <t>SUB-0375</t>
  </si>
  <si>
    <t>SYN-0375</t>
  </si>
  <si>
    <t>SUB-0235</t>
  </si>
  <si>
    <t>SYN-0235</t>
  </si>
  <si>
    <t>SUB-0008</t>
  </si>
  <si>
    <t>SYN-0008</t>
  </si>
  <si>
    <t>SUB-0250</t>
  </si>
  <si>
    <t>SYN-0250</t>
  </si>
  <si>
    <t>SUB-0085</t>
  </si>
  <si>
    <t>SYN-0085</t>
  </si>
  <si>
    <t>SUB-0135</t>
  </si>
  <si>
    <t>SYN-0135</t>
  </si>
  <si>
    <t>SUB-0272</t>
  </si>
  <si>
    <t>SYN-0272</t>
  </si>
  <si>
    <t>SUB-0073</t>
  </si>
  <si>
    <t>SYN-0073</t>
  </si>
  <si>
    <t>SUB-0144</t>
  </si>
  <si>
    <t>SYN-0144</t>
  </si>
  <si>
    <t>SUB-0103</t>
  </si>
  <si>
    <t>SYN-0103</t>
  </si>
  <si>
    <t>SUB-0017</t>
  </si>
  <si>
    <t>SYN-0017</t>
  </si>
  <si>
    <t>SUB-0094</t>
  </si>
  <si>
    <t>SYN-0094</t>
  </si>
  <si>
    <t>SUB-0062</t>
  </si>
  <si>
    <t>SYN-0062</t>
  </si>
  <si>
    <t>SUB-0182</t>
  </si>
  <si>
    <t>SYN-0182</t>
  </si>
  <si>
    <t>SUB-0007</t>
  </si>
  <si>
    <t>SYN-0007</t>
  </si>
  <si>
    <t>SUB-0195</t>
  </si>
  <si>
    <t>SYN-0195</t>
  </si>
  <si>
    <t>SUB-0365</t>
  </si>
  <si>
    <t>SYN-0365</t>
  </si>
  <si>
    <t>SUB-0013</t>
  </si>
  <si>
    <t>SYN-0013</t>
  </si>
  <si>
    <t>SUB-0262</t>
  </si>
  <si>
    <t>SYN-0262</t>
  </si>
  <si>
    <t>SUB-0289</t>
  </si>
  <si>
    <t>SYN-0289</t>
  </si>
  <si>
    <t>SUB-0207</t>
  </si>
  <si>
    <t>SYN-0207</t>
  </si>
  <si>
    <t>SUB-0155</t>
  </si>
  <si>
    <t>SYN-0155</t>
  </si>
  <si>
    <t>SUB-0162</t>
  </si>
  <si>
    <t>SYN-0162</t>
  </si>
  <si>
    <t>The practical examples made the sessions easier to understand.</t>
  </si>
  <si>
    <t>SUB-0240</t>
  </si>
  <si>
    <t>SYN-0240</t>
  </si>
  <si>
    <t>SUB-0344</t>
  </si>
  <si>
    <t>SYN-0344</t>
  </si>
  <si>
    <t>SUB-0149</t>
  </si>
  <si>
    <t>SYN-0149</t>
  </si>
  <si>
    <t>SUB-0404</t>
  </si>
  <si>
    <t>SYN-0404</t>
  </si>
  <si>
    <t>SUB-0407</t>
  </si>
  <si>
    <t>SYN-0407</t>
  </si>
  <si>
    <t>SUB-0211</t>
  </si>
  <si>
    <t>SYN-0211</t>
  </si>
  <si>
    <t>SUB-0081</t>
  </si>
  <si>
    <t>SYN-0081</t>
  </si>
  <si>
    <t>SUB-0043</t>
  </si>
  <si>
    <t>SYN-0043</t>
  </si>
  <si>
    <t>SUB-0199</t>
  </si>
  <si>
    <t>SYN-0199</t>
  </si>
  <si>
    <t>SUB-0238</t>
  </si>
  <si>
    <t>SYN-0238</t>
  </si>
  <si>
    <t>SUB-0177</t>
  </si>
  <si>
    <t>SYN-0177</t>
  </si>
  <si>
    <t>SUB-0381</t>
  </si>
  <si>
    <t>SYN-0381</t>
  </si>
  <si>
    <t>SUB-0318</t>
  </si>
  <si>
    <t>SYN-0318</t>
  </si>
  <si>
    <t>The session was useful, but the timing conflicted with other responsibilities.</t>
  </si>
  <si>
    <t>SUB-0107</t>
  </si>
  <si>
    <t>SYN-0107</t>
  </si>
  <si>
    <t>SUB-0263</t>
  </si>
  <si>
    <t>SYN-0263</t>
  </si>
  <si>
    <t>SUB-0016</t>
  </si>
  <si>
    <t>SYN-0016</t>
  </si>
  <si>
    <t>SUB-0127</t>
  </si>
  <si>
    <t>SYN-0127</t>
  </si>
  <si>
    <t>SUB-0305</t>
  </si>
  <si>
    <t>SUB-0351</t>
  </si>
  <si>
    <t>SYN-0351</t>
  </si>
  <si>
    <t>SUB-0115</t>
  </si>
  <si>
    <t>SYN-0115</t>
  </si>
  <si>
    <t>SUB-0045</t>
  </si>
  <si>
    <t>SYN-0045</t>
  </si>
  <si>
    <t>SUB-0313</t>
  </si>
  <si>
    <t>SYN-0313</t>
  </si>
  <si>
    <t>SUB-0332</t>
  </si>
  <si>
    <t>SYN-0332</t>
  </si>
  <si>
    <t>SUB-0298</t>
  </si>
  <si>
    <t>SYN-0298</t>
  </si>
  <si>
    <t>SUB-0312</t>
  </si>
  <si>
    <t>SYN-0312</t>
  </si>
  <si>
    <t>SUB-0044</t>
  </si>
  <si>
    <t>SYN-0044</t>
  </si>
  <si>
    <t>SUB-0330</t>
  </si>
  <si>
    <t>SYN-0330</t>
  </si>
  <si>
    <t>SUB-0150</t>
  </si>
  <si>
    <t>SYN-0150</t>
  </si>
  <si>
    <t>SUB-0091</t>
  </si>
  <si>
    <t>SYN-0091</t>
  </si>
  <si>
    <t>SUB-0079</t>
  </si>
  <si>
    <t>SYN-0079</t>
  </si>
  <si>
    <t>SUB-0136</t>
  </si>
  <si>
    <t>SYN-0136</t>
  </si>
  <si>
    <t>SUB-0401</t>
  </si>
  <si>
    <t>SYN-0401</t>
  </si>
  <si>
    <t>SUB-0161</t>
  </si>
  <si>
    <t>SYN-0161</t>
  </si>
  <si>
    <t>More time for questions and practice would improve the training.</t>
  </si>
  <si>
    <t>SUB-0261</t>
  </si>
  <si>
    <t>SYN-0261</t>
  </si>
  <si>
    <t>SUB-0157</t>
  </si>
  <si>
    <t>SYN-0157</t>
  </si>
  <si>
    <t>SUB-0233</t>
  </si>
  <si>
    <t>SYN-0233</t>
  </si>
  <si>
    <t>SUB-0230</t>
  </si>
  <si>
    <t>SYN-0230</t>
  </si>
  <si>
    <t>SUB-0256</t>
  </si>
  <si>
    <t>SYN-0256</t>
  </si>
  <si>
    <t>SUB-0096</t>
  </si>
  <si>
    <t>SYN-0096</t>
  </si>
  <si>
    <t>SUB-0010</t>
  </si>
  <si>
    <t>SYN-0010</t>
  </si>
  <si>
    <t>SUB-0128</t>
  </si>
  <si>
    <t>SYN-0128</t>
  </si>
  <si>
    <t>SUB-0342</t>
  </si>
  <si>
    <t>SYN-0342</t>
  </si>
  <si>
    <t>SUB-0297</t>
  </si>
  <si>
    <t>SYN-0297</t>
  </si>
  <si>
    <t>Shorter sessions on more days would be easier to attend.</t>
  </si>
  <si>
    <t>SUB-0226</t>
  </si>
  <si>
    <t>SYN-0226</t>
  </si>
  <si>
    <t>SUB-0203</t>
  </si>
  <si>
    <t>SYN-0203</t>
  </si>
  <si>
    <t>SUB-0071</t>
  </si>
  <si>
    <t>SYN-0071</t>
  </si>
  <si>
    <t>SUB-0243</t>
  </si>
  <si>
    <t>SYN-0243</t>
  </si>
  <si>
    <t>SUB-0156</t>
  </si>
  <si>
    <t>SYN-0156</t>
  </si>
  <si>
    <t>SUB-0066</t>
  </si>
  <si>
    <t>SYN-0066</t>
  </si>
  <si>
    <t>SUB-0403</t>
  </si>
  <si>
    <t>SYN-0403</t>
  </si>
  <si>
    <t>SUB-0049</t>
  </si>
  <si>
    <t>SYN-0049</t>
  </si>
  <si>
    <t>SUB-0275</t>
  </si>
  <si>
    <t>SYN-0275</t>
  </si>
  <si>
    <t>SUB-0251</t>
  </si>
  <si>
    <t>SYN-0251</t>
  </si>
  <si>
    <t>SUB-0086</t>
  </si>
  <si>
    <t>SYN-0086</t>
  </si>
  <si>
    <t>SUB-0138</t>
  </si>
  <si>
    <t>SYN-0138</t>
  </si>
  <si>
    <t>SUB-0080</t>
  </si>
  <si>
    <t>SYN-0080</t>
  </si>
  <si>
    <t>SUB-0123</t>
  </si>
  <si>
    <t>SYN-0123</t>
  </si>
  <si>
    <t>SUB-0220</t>
  </si>
  <si>
    <t>SYN-0220</t>
  </si>
  <si>
    <t>SUB-0271</t>
  </si>
  <si>
    <t>SYN-0271</t>
  </si>
  <si>
    <t>SUB-0391</t>
  </si>
  <si>
    <t>SYN-0391</t>
  </si>
  <si>
    <t>SUB-DUP-009</t>
  </si>
  <si>
    <t>SYN-0398</t>
  </si>
  <si>
    <t>SUB-0326</t>
  </si>
  <si>
    <t>SYN-0326</t>
  </si>
  <si>
    <t>SUB-0099</t>
  </si>
  <si>
    <t>SYN-0099</t>
  </si>
  <si>
    <t>Printed materials would help people who cannot attend every session.</t>
  </si>
  <si>
    <t>SUB-0231</t>
  </si>
  <si>
    <t>SYN-0231</t>
  </si>
  <si>
    <t>SUB-0212</t>
  </si>
  <si>
    <t>SYN-0212</t>
  </si>
  <si>
    <t>SUB-0180</t>
  </si>
  <si>
    <t>SYN-0180</t>
  </si>
  <si>
    <t>SUB-0255</t>
  </si>
  <si>
    <t>SYN-0255</t>
  </si>
  <si>
    <t>SUB-0252</t>
  </si>
  <si>
    <t>SYN-0252</t>
  </si>
  <si>
    <t>SUB-0236</t>
  </si>
  <si>
    <t>SYN-0236</t>
  </si>
  <si>
    <t>SUB-0345</t>
  </si>
  <si>
    <t>SYN-0345</t>
  </si>
  <si>
    <t>SUB-0279</t>
  </si>
  <si>
    <t>SYN-0279</t>
  </si>
  <si>
    <t>SUB-0314</t>
  </si>
  <si>
    <t>SYN-0314</t>
  </si>
  <si>
    <t>SUB-0006</t>
  </si>
  <si>
    <t>SYN-0006</t>
  </si>
  <si>
    <t>SUB-0122</t>
  </si>
  <si>
    <t>SYN-0122</t>
  </si>
  <si>
    <t>SUB-DUP-003</t>
  </si>
  <si>
    <t>SYN-0246</t>
  </si>
  <si>
    <t>SUB-0083</t>
  </si>
  <si>
    <t>SYN-0083</t>
  </si>
  <si>
    <t>SUB-0386</t>
  </si>
  <si>
    <t>SYN-0386</t>
  </si>
  <si>
    <t>SUB-DUP-004</t>
  </si>
  <si>
    <t>SYN-0056</t>
  </si>
  <si>
    <t>SUB-0336</t>
  </si>
  <si>
    <t>SYN-0336</t>
  </si>
  <si>
    <t>SUB-0018</t>
  </si>
  <si>
    <t>SYN-0018</t>
  </si>
  <si>
    <t>SUB-0065</t>
  </si>
  <si>
    <t>SYN-0065</t>
  </si>
  <si>
    <t>SUB-0225</t>
  </si>
  <si>
    <t>SYN-0225</t>
  </si>
  <si>
    <t>SUB-0335</t>
  </si>
  <si>
    <t>SYN-0335</t>
  </si>
  <si>
    <t>SUB-0300</t>
  </si>
  <si>
    <t>SYN-0300</t>
  </si>
  <si>
    <t>SUB-0394</t>
  </si>
  <si>
    <t>SYN-0394</t>
  </si>
  <si>
    <t>SUB-0232</t>
  </si>
  <si>
    <t>SYN-0232</t>
  </si>
  <si>
    <t>SUB-0321</t>
  </si>
  <si>
    <t>SYN-0321</t>
  </si>
  <si>
    <t>SUB-0371</t>
  </si>
  <si>
    <t>SYN-0371</t>
  </si>
  <si>
    <t>SUB-0104</t>
  </si>
  <si>
    <t>SYN-0104</t>
  </si>
  <si>
    <t>SUB-0347</t>
  </si>
  <si>
    <t>SYN-0347</t>
  </si>
  <si>
    <t>SUB-0377</t>
  </si>
  <si>
    <t>SYN-0377</t>
  </si>
  <si>
    <t>SUB-0361</t>
  </si>
  <si>
    <t>SYN-0361</t>
  </si>
  <si>
    <t>SUB-0378</t>
  </si>
  <si>
    <t>SYN-0378</t>
  </si>
  <si>
    <t>SUB-0072</t>
  </si>
  <si>
    <t>SYN-0072</t>
  </si>
  <si>
    <t>SUB-0383</t>
  </si>
  <si>
    <t>SYN-0383</t>
  </si>
  <si>
    <t>SUB-0035</t>
  </si>
  <si>
    <t>SYN-0035</t>
  </si>
  <si>
    <t>SUB-0376</t>
  </si>
  <si>
    <t>SYN-0376</t>
  </si>
  <si>
    <t>SUB-0174</t>
  </si>
  <si>
    <t>SYN-0174</t>
  </si>
  <si>
    <t>SUB-0234</t>
  </si>
  <si>
    <t>SYN-0234</t>
  </si>
  <si>
    <t>SUB-DUP-007</t>
  </si>
  <si>
    <t>SYN-0395</t>
  </si>
  <si>
    <t>SUB-0356</t>
  </si>
  <si>
    <t>SYN-0356</t>
  </si>
  <si>
    <t>SUB-0369</t>
  </si>
  <si>
    <t>SYN-0369</t>
  </si>
  <si>
    <t>SUB-0214</t>
  </si>
  <si>
    <t>SYN-0214</t>
  </si>
  <si>
    <t>SUB-0329</t>
  </si>
  <si>
    <t>SYN-0329</t>
  </si>
  <si>
    <t>SUB-0069</t>
  </si>
  <si>
    <t>SYN-0069</t>
  </si>
  <si>
    <t>ENUM_99</t>
  </si>
  <si>
    <t>SUB-0337</t>
  </si>
  <si>
    <t>SYN-0337</t>
  </si>
  <si>
    <t>SUB-0113</t>
  </si>
  <si>
    <t>SYN-0113</t>
  </si>
  <si>
    <t>SUB-0393</t>
  </si>
  <si>
    <t>SYN-0393</t>
  </si>
  <si>
    <t>SUB-0175</t>
  </si>
  <si>
    <t>SYN-0175</t>
  </si>
  <si>
    <t>SUB-0171</t>
  </si>
  <si>
    <t>SYN-0171</t>
  </si>
  <si>
    <t>SUB-0030</t>
  </si>
  <si>
    <t>SYN-0030</t>
  </si>
  <si>
    <t>SUB-0005</t>
  </si>
  <si>
    <t>SYN-0005</t>
  </si>
  <si>
    <t>SUB-0189</t>
  </si>
  <si>
    <t>SYN-0189</t>
  </si>
  <si>
    <t>SUB-0367</t>
  </si>
  <si>
    <t>SYN-0367</t>
  </si>
  <si>
    <t>SUB-0410</t>
  </si>
  <si>
    <t>SYN-0410</t>
  </si>
  <si>
    <t>SUB-0205</t>
  </si>
  <si>
    <t>SYN-0205</t>
  </si>
  <si>
    <t>SUB-0349</t>
  </si>
  <si>
    <t>SYN-0349</t>
  </si>
  <si>
    <t>SUB-0267</t>
  </si>
  <si>
    <t>SYN-0267</t>
  </si>
  <si>
    <t>SUB-0216</t>
  </si>
  <si>
    <t>SYN-0216</t>
  </si>
  <si>
    <t>SUB-0140</t>
  </si>
  <si>
    <t>SYN-0140</t>
  </si>
  <si>
    <t>other_invalid</t>
  </si>
  <si>
    <t>SUB-0024</t>
  </si>
  <si>
    <t>SYN-0024</t>
  </si>
  <si>
    <t>SUB-0241</t>
  </si>
  <si>
    <t>SYN-0241</t>
  </si>
  <si>
    <t>SUB-0292</t>
  </si>
  <si>
    <t>SYN-0292</t>
  </si>
  <si>
    <t>SUB-0037</t>
  </si>
  <si>
    <t>SYN-0037</t>
  </si>
  <si>
    <t>SUB-0215</t>
  </si>
  <si>
    <t>SYN-0215</t>
  </si>
  <si>
    <t>SUB-0201</t>
  </si>
  <si>
    <t>SYN-0201</t>
  </si>
  <si>
    <t>SUB-0316</t>
  </si>
  <si>
    <t>SYN-0316</t>
  </si>
  <si>
    <t>SUB-0270</t>
  </si>
  <si>
    <t>SYN-0270</t>
  </si>
  <si>
    <t>SUB-0154</t>
  </si>
  <si>
    <t>SYN-0154</t>
  </si>
  <si>
    <t>SUB-0026</t>
  </si>
  <si>
    <t>SYN-0026</t>
  </si>
  <si>
    <t>SUB-0067</t>
  </si>
  <si>
    <t>SYN-0067</t>
  </si>
  <si>
    <t>SUB-0309</t>
  </si>
  <si>
    <t>SYN-0309</t>
  </si>
  <si>
    <t>SUB-0286</t>
  </si>
  <si>
    <t>SYN-0286</t>
  </si>
  <si>
    <t>SUB-0012</t>
  </si>
  <si>
    <t>SYN-0012</t>
  </si>
  <si>
    <t>SUB-0315</t>
  </si>
  <si>
    <t>SYN-0315</t>
  </si>
  <si>
    <t>SUB-0283</t>
  </si>
  <si>
    <t>SYN-0283</t>
  </si>
  <si>
    <t>SUB-0061</t>
  </si>
  <si>
    <t>SYN-0061</t>
  </si>
  <si>
    <t>SUB-0408</t>
  </si>
  <si>
    <t>SYN-0408</t>
  </si>
  <si>
    <t>SUB-0380</t>
  </si>
  <si>
    <t>SYN-0380</t>
  </si>
  <si>
    <t>SUB-0322</t>
  </si>
  <si>
    <t>SYN-0322</t>
  </si>
  <si>
    <t>SUB-0341</t>
  </si>
  <si>
    <t>SYN-0341</t>
  </si>
  <si>
    <t>SUB-0390</t>
  </si>
  <si>
    <t>SYN-0390</t>
  </si>
  <si>
    <t>SUB-0040</t>
  </si>
  <si>
    <t>SYN-0040</t>
  </si>
  <si>
    <t>SUB-0023</t>
  </si>
  <si>
    <t>SYN-0023</t>
  </si>
  <si>
    <t>SUB-0114</t>
  </si>
  <si>
    <t>SYN-0114</t>
  </si>
  <si>
    <t>SUB-0358</t>
  </si>
  <si>
    <t>SYN-0358</t>
  </si>
  <si>
    <t>SUB-0059</t>
  </si>
  <si>
    <t>SYN-0059</t>
  </si>
  <si>
    <t>SUB-DUP-008</t>
  </si>
  <si>
    <t>SYN-0296</t>
  </si>
  <si>
    <t>SUB-0173</t>
  </si>
  <si>
    <t>SYN-0173</t>
  </si>
  <si>
    <t>SUB-0310</t>
  </si>
  <si>
    <t>SYN-0310</t>
  </si>
  <si>
    <t>SUB-0054</t>
  </si>
  <si>
    <t>SYN-0054</t>
  </si>
  <si>
    <t>SUB-0095</t>
  </si>
  <si>
    <t>SYN-0095</t>
  </si>
  <si>
    <t>SUB-0041</t>
  </si>
  <si>
    <t>SYN-0041</t>
  </si>
  <si>
    <t>SUB-0357</t>
  </si>
  <si>
    <t>SYN-0357</t>
  </si>
  <si>
    <t>SUB-0343</t>
  </si>
  <si>
    <t>SYN-0343</t>
  </si>
  <si>
    <t>SUB-0181</t>
  </si>
  <si>
    <t>SYN-0181</t>
  </si>
  <si>
    <t>SUB-0320</t>
  </si>
  <si>
    <t>SYN-0320</t>
  </si>
  <si>
    <t>SUB-0132</t>
  </si>
  <si>
    <t>SYN-0132</t>
  </si>
  <si>
    <t>SUB-0015</t>
  </si>
  <si>
    <t>SYN-0015</t>
  </si>
  <si>
    <t>SUB-0248</t>
  </si>
  <si>
    <t>SYN-0248</t>
  </si>
  <si>
    <t>SUB-0406</t>
  </si>
  <si>
    <t>SYN-0406</t>
  </si>
  <si>
    <t>SUB-DUP-005</t>
  </si>
  <si>
    <t>SYN-0206</t>
  </si>
  <si>
    <t>SUB-0146</t>
  </si>
  <si>
    <t>SYN-0146</t>
  </si>
  <si>
    <t>under_18</t>
  </si>
  <si>
    <t>SUB-0208</t>
  </si>
  <si>
    <t>SYN-0208</t>
  </si>
  <si>
    <t>SUB-0368</t>
  </si>
  <si>
    <t>SYN-0368</t>
  </si>
  <si>
    <t>SUB-0082</t>
  </si>
  <si>
    <t>SYN-0082</t>
  </si>
  <si>
    <t>SUB-0388</t>
  </si>
  <si>
    <t>SYN-0388</t>
  </si>
  <si>
    <t>X99</t>
  </si>
  <si>
    <t>SUB-0172</t>
  </si>
  <si>
    <t>SYN-0172</t>
  </si>
  <si>
    <t>SUB-0076</t>
  </si>
  <si>
    <t>SYN-0076</t>
  </si>
  <si>
    <t>SUB-0385</t>
  </si>
  <si>
    <t>SYN-0385</t>
  </si>
  <si>
    <t>SUB-0102</t>
  </si>
  <si>
    <t>SYN-0102</t>
  </si>
  <si>
    <t>SUB-0048</t>
  </si>
  <si>
    <t>SYN-0048</t>
  </si>
  <si>
    <t>SUB-0340</t>
  </si>
  <si>
    <t>SYN-0340</t>
  </si>
  <si>
    <t>SUB-0405</t>
  </si>
  <si>
    <t>SYN-0405</t>
  </si>
  <si>
    <t>SUB-0143</t>
  </si>
  <si>
    <t>SYN-0143</t>
  </si>
  <si>
    <t>SUB-DUP-010</t>
  </si>
  <si>
    <t>SUB-0052</t>
  </si>
  <si>
    <t>SYN-0052</t>
  </si>
  <si>
    <t>SUB-0179</t>
  </si>
  <si>
    <t>SYN-0179</t>
  </si>
  <si>
    <t>SUB-0409</t>
  </si>
  <si>
    <t>SYN-0409</t>
  </si>
  <si>
    <t>SUB-0046</t>
  </si>
  <si>
    <t>SYN-0046</t>
  </si>
  <si>
    <t>SUB-0246</t>
  </si>
  <si>
    <t>SUB-0167</t>
  </si>
  <si>
    <t>SYN-0167</t>
  </si>
  <si>
    <t>SUB-0291</t>
  </si>
  <si>
    <t>SYN-0291</t>
  </si>
  <si>
    <t>SUB-0306</t>
  </si>
  <si>
    <t>SYN-0306</t>
  </si>
  <si>
    <t>SUB-0370</t>
  </si>
  <si>
    <t>SYN-0370</t>
  </si>
  <si>
    <t>SUB-0363</t>
  </si>
  <si>
    <t>SYN-0363</t>
  </si>
  <si>
    <t>SUB-0070</t>
  </si>
  <si>
    <t>SYN-0070</t>
  </si>
  <si>
    <t>SUB-0364</t>
  </si>
  <si>
    <t>SYN-0364</t>
  </si>
  <si>
    <t>SUB-0400</t>
  </si>
  <si>
    <t>SYN-0400</t>
  </si>
  <si>
    <t>SUB-0384</t>
  </si>
  <si>
    <t>SYN-0384</t>
  </si>
  <si>
    <t>SUB-0022</t>
  </si>
  <si>
    <t>SYN-0022</t>
  </si>
  <si>
    <t>SUB-0074</t>
  </si>
  <si>
    <t>SYN-0074</t>
  </si>
  <si>
    <t>SUB-0276</t>
  </si>
  <si>
    <t>SYN-0276</t>
  </si>
  <si>
    <t>SUB-0227</t>
  </si>
  <si>
    <t>SYN-0227</t>
  </si>
  <si>
    <t>SUB-0245</t>
  </si>
  <si>
    <t>SYN-0245</t>
  </si>
  <si>
    <t>SUB-0325</t>
  </si>
  <si>
    <t>SYN-0325</t>
  </si>
  <si>
    <t>SUB-0348</t>
  </si>
  <si>
    <t>SYN-0348</t>
  </si>
  <si>
    <t>SUB-0353</t>
  </si>
  <si>
    <t>SYN-0353</t>
  </si>
  <si>
    <t>SUB-0222</t>
  </si>
  <si>
    <t>SYN-0222</t>
  </si>
  <si>
    <t>SUB-0164</t>
  </si>
  <si>
    <t>SYN-0164</t>
  </si>
  <si>
    <t>SUB-0202</t>
  </si>
  <si>
    <t>SYN-0202</t>
  </si>
  <si>
    <t>SUB-0124</t>
  </si>
  <si>
    <t>SYN-0124</t>
  </si>
  <si>
    <t>SUB-0176</t>
  </si>
  <si>
    <t>SYN-0176</t>
  </si>
  <si>
    <t>SUB-0398</t>
  </si>
  <si>
    <t>SUB-0319</t>
  </si>
  <si>
    <t>SYN-0319</t>
  </si>
  <si>
    <t>SUB-0109</t>
  </si>
  <si>
    <t>SYN-0109</t>
  </si>
  <si>
    <t>SUB-0186</t>
  </si>
  <si>
    <t>SYN-0186</t>
  </si>
  <si>
    <t>SUB-0265</t>
  </si>
  <si>
    <t>SYN-0265</t>
  </si>
  <si>
    <t>SUB-0311</t>
  </si>
  <si>
    <t>SYN-0311</t>
  </si>
  <si>
    <t>SUB-0112</t>
  </si>
  <si>
    <t>SYN-0112</t>
  </si>
  <si>
    <t>SUB-0060</t>
  </si>
  <si>
    <t>SYN-0060</t>
  </si>
  <si>
    <t>SUB-0111</t>
  </si>
  <si>
    <t>SYN-0111</t>
  </si>
  <si>
    <t>SUB-0029</t>
  </si>
  <si>
    <t>SYN-0029</t>
  </si>
  <si>
    <t>SUB-0296</t>
  </si>
  <si>
    <t>SUB-0027</t>
  </si>
  <si>
    <t>SYN-0027</t>
  </si>
  <si>
    <t>SUB-0137</t>
  </si>
  <si>
    <t>SYN-0137</t>
  </si>
  <si>
    <t>SUB-0047</t>
  </si>
  <si>
    <t>SYN-0047</t>
  </si>
  <si>
    <t>SUB-0101</t>
  </si>
  <si>
    <t>SYN-0101</t>
  </si>
  <si>
    <t>SUB-0217</t>
  </si>
  <si>
    <t>SYN-0217</t>
  </si>
  <si>
    <t>SUB-0077</t>
  </si>
  <si>
    <t>SYN-0077</t>
  </si>
  <si>
    <t>SUB-0053</t>
  </si>
  <si>
    <t>SYN-0053</t>
  </si>
  <si>
    <t>SUB-0294</t>
  </si>
  <si>
    <t>SYN-0294</t>
  </si>
  <si>
    <t>SUB-0110</t>
  </si>
  <si>
    <t>SYN-0110</t>
  </si>
  <si>
    <t>SUB-0092</t>
  </si>
  <si>
    <t>SYN-0092</t>
  </si>
  <si>
    <t>SUB-0374</t>
  </si>
  <si>
    <t>SYN-0374</t>
  </si>
  <si>
    <t>SUB-0373</t>
  </si>
  <si>
    <t>SYN-0373</t>
  </si>
  <si>
    <t>SUB-0338</t>
  </si>
  <si>
    <t>SYN-0338</t>
  </si>
  <si>
    <t>SUB-0264</t>
  </si>
  <si>
    <t>SYN-0264</t>
  </si>
  <si>
    <t>SUB-0324</t>
  </si>
  <si>
    <t>SYN-0324</t>
  </si>
  <si>
    <t>SUB-0392</t>
  </si>
  <si>
    <t>SYN-0392</t>
  </si>
  <si>
    <t>SUB-0134</t>
  </si>
  <si>
    <t>SYN-0134</t>
  </si>
  <si>
    <t>SUB-0188</t>
  </si>
  <si>
    <t>SYN-0188</t>
  </si>
  <si>
    <t>SUB-0213</t>
  </si>
  <si>
    <t>SYN-0213</t>
  </si>
  <si>
    <t>SUB-0068</t>
  </si>
  <si>
    <t>SYN-0068</t>
  </si>
  <si>
    <t>SUB-0158</t>
  </si>
  <si>
    <t>SYN-0158</t>
  </si>
  <si>
    <t>SUB-0025</t>
  </si>
  <si>
    <t>SYN-0025</t>
  </si>
  <si>
    <t>SUB-0147</t>
  </si>
  <si>
    <t>SYN-0147</t>
  </si>
  <si>
    <t>SUB-DUP-002</t>
  </si>
  <si>
    <t>SUB-0130</t>
  </si>
  <si>
    <t>SYN-0130</t>
  </si>
  <si>
    <t>SUB-0302</t>
  </si>
  <si>
    <t>SYN-0302</t>
  </si>
  <si>
    <t>SUB-0362</t>
  </si>
  <si>
    <t>SYN-0362</t>
  </si>
  <si>
    <t>SUB-0204</t>
  </si>
  <si>
    <t>SYN-0204</t>
  </si>
  <si>
    <t>SUB-0139</t>
  </si>
  <si>
    <t>SYN-0139</t>
  </si>
  <si>
    <t>SUB-0221</t>
  </si>
  <si>
    <t>SYN-0221</t>
  </si>
  <si>
    <t>SUB-0285</t>
  </si>
  <si>
    <t>SYN-0285</t>
  </si>
  <si>
    <t>SUB-0387</t>
  </si>
  <si>
    <t>SYN-0387</t>
  </si>
  <si>
    <t>SUB-0303</t>
  </si>
  <si>
    <t>SYN-0303</t>
  </si>
  <si>
    <t>SUB-0133</t>
  </si>
  <si>
    <t>SYN-0133</t>
  </si>
  <si>
    <t>SUB-0288</t>
  </si>
  <si>
    <t>SYN-0288</t>
  </si>
  <si>
    <t>SUB-0014</t>
  </si>
  <si>
    <t>SYN-0014</t>
  </si>
  <si>
    <t>SUB-0200</t>
  </si>
  <si>
    <t>SYN-0200</t>
  </si>
  <si>
    <t>SUB-0093</t>
  </si>
  <si>
    <t>SYN-0093</t>
  </si>
  <si>
    <t>SUB-0334</t>
  </si>
  <si>
    <t>SYN-0334</t>
  </si>
  <si>
    <t>SUB-0185</t>
  </si>
  <si>
    <t>SYN-0185</t>
  </si>
  <si>
    <t>SUB-0039</t>
  </si>
  <si>
    <t>SYN-0039</t>
  </si>
  <si>
    <t>SUB-0355</t>
  </si>
  <si>
    <t>SYN-0355</t>
  </si>
  <si>
    <t>SUB-0352</t>
  </si>
  <si>
    <t>SYN-0352</t>
  </si>
  <si>
    <t>SUB-0166</t>
  </si>
  <si>
    <t>SYN-0166</t>
  </si>
  <si>
    <t>SUB-0087</t>
  </si>
  <si>
    <t>SYN-0087</t>
  </si>
  <si>
    <t>SUB-0350</t>
  </si>
  <si>
    <t>SYN-0350</t>
  </si>
  <si>
    <t>SUB-0151</t>
  </si>
  <si>
    <t>SYN-0151</t>
  </si>
  <si>
    <t>SUB-0184</t>
  </si>
  <si>
    <t>SYN-0184</t>
  </si>
  <si>
    <t>SUB-0106</t>
  </si>
  <si>
    <t>SYN-0106</t>
  </si>
  <si>
    <t>SUB-0058</t>
  </si>
  <si>
    <t>SYN-0058</t>
  </si>
  <si>
    <t>SUB-0258</t>
  </si>
  <si>
    <t>SYN-0258</t>
  </si>
  <si>
    <t>SUB-0051</t>
  </si>
  <si>
    <t>SYN-0051</t>
  </si>
  <si>
    <t>SUB-0078</t>
  </si>
  <si>
    <t>SYN-0078</t>
  </si>
  <si>
    <t>SUB-0266</t>
  </si>
  <si>
    <t>SYN-0266</t>
  </si>
  <si>
    <t>SUB-0254</t>
  </si>
  <si>
    <t>SYN-0254</t>
  </si>
  <si>
    <t>SUB-0269</t>
  </si>
  <si>
    <t>SYN-0269</t>
  </si>
  <si>
    <t>SUB-0153</t>
  </si>
  <si>
    <t>SYN-0153</t>
  </si>
  <si>
    <t>SUB-0084</t>
  </si>
  <si>
    <t>SYN-0084</t>
  </si>
  <si>
    <t>SUB-0268</t>
  </si>
  <si>
    <t>SYN-0268</t>
  </si>
  <si>
    <t>unknown_code</t>
  </si>
  <si>
    <t>SUB-0307</t>
  </si>
  <si>
    <t>SYN-0307</t>
  </si>
  <si>
    <t>SUB-0301</t>
  </si>
  <si>
    <t>SYN-0301</t>
  </si>
  <si>
    <t>SUB-0395</t>
  </si>
  <si>
    <t>SUB-0187</t>
  </si>
  <si>
    <t>SYN-0187</t>
  </si>
  <si>
    <t>SUB-0253</t>
  </si>
  <si>
    <t>SYN-0253</t>
  </si>
  <si>
    <t>SUB-0118</t>
  </si>
  <si>
    <t>SYN-0118</t>
  </si>
  <si>
    <t>SUB-0397</t>
  </si>
  <si>
    <t>SYN-0397</t>
  </si>
  <si>
    <t>SUB-0159</t>
  </si>
  <si>
    <t>SYN-0159</t>
  </si>
  <si>
    <t>SUB-0290</t>
  </si>
  <si>
    <t>SYN-0290</t>
  </si>
  <si>
    <t>SUB-0129</t>
  </si>
  <si>
    <t>SYN-0129</t>
  </si>
  <si>
    <t>SUB-0036</t>
  </si>
  <si>
    <t>SYN-0036</t>
  </si>
  <si>
    <t>SUB-0125</t>
  </si>
  <si>
    <t>SYN-0125</t>
  </si>
  <si>
    <t>SUB-0121</t>
  </si>
  <si>
    <t>SYN-0121</t>
  </si>
  <si>
    <t>SUB-0354</t>
  </si>
  <si>
    <t>SYN-0354</t>
  </si>
  <si>
    <t>SUB-0323</t>
  </si>
  <si>
    <t>SYN-0323</t>
  </si>
  <si>
    <t>SUB-0170</t>
  </si>
  <si>
    <t>SYN-0170</t>
  </si>
  <si>
    <t>SUB-0117</t>
  </si>
  <si>
    <t>SYN-0117</t>
  </si>
  <si>
    <t>SUB-0273</t>
  </si>
  <si>
    <t>SYN-0273</t>
  </si>
  <si>
    <t>SUB-0293</t>
  </si>
  <si>
    <t>SYN-0293</t>
  </si>
  <si>
    <t>SUB-0056</t>
  </si>
  <si>
    <t>SUB-0219</t>
  </si>
  <si>
    <t>SYN-0219</t>
  </si>
  <si>
    <t>SUB-0260</t>
  </si>
  <si>
    <t>SYN-0260</t>
  </si>
  <si>
    <t>SUB-0372</t>
  </si>
  <si>
    <t>SYN-0372</t>
  </si>
  <si>
    <t>SUB-0119</t>
  </si>
  <si>
    <t>SYN-0119</t>
  </si>
  <si>
    <t>SUB-0206</t>
  </si>
  <si>
    <t>SUB-0333</t>
  </si>
  <si>
    <t>SYN-0333</t>
  </si>
  <si>
    <t>SUB-0098</t>
  </si>
  <si>
    <t>SYN-0098</t>
  </si>
  <si>
    <t>SUB-0034</t>
  </si>
  <si>
    <t>SYN-0034</t>
  </si>
  <si>
    <t>SUB-0299</t>
  </si>
  <si>
    <t>SYN-0299</t>
  </si>
  <si>
    <t>SUB-0244</t>
  </si>
  <si>
    <t>SYN-0244</t>
  </si>
  <si>
    <t>SUB-0229</t>
  </si>
  <si>
    <t>SYN-0229</t>
  </si>
  <si>
    <t>SUB-0218</t>
  </si>
  <si>
    <t>SYN-0218</t>
  </si>
  <si>
    <t>SUB-0169</t>
  </si>
  <si>
    <t>SYN-0169</t>
  </si>
  <si>
    <t>SUB-0402</t>
  </si>
  <si>
    <t>SYN-0402</t>
  </si>
  <si>
    <t>SUB-0075</t>
  </si>
  <si>
    <t>SYN-0075</t>
  </si>
  <si>
    <t>SUB-0193</t>
  </si>
  <si>
    <t>SYN-0193</t>
  </si>
  <si>
    <t>SUB-0399</t>
  </si>
  <si>
    <t>SYN-0399</t>
  </si>
  <si>
    <t>Row Labels</t>
  </si>
  <si>
    <t>Grand Total</t>
  </si>
  <si>
    <t>Column Labels</t>
  </si>
  <si>
    <t>Responses</t>
  </si>
  <si>
    <t>Synthetic QC export - generated 2026-07-10 20:05:03</t>
  </si>
  <si>
    <t>QC rule</t>
  </si>
  <si>
    <t>Flagged rows</t>
  </si>
  <si>
    <t>records_with_any_flag</t>
  </si>
  <si>
    <t>SET_FULL_PATH_TO\data\raw\survey_responses_synthetic.csv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</si>
</sst>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rgb="FF7F6000"/>
      <name val="Calibri"/>
    </font>
    <font>
      <b/>
      <sz val="11"/>
      <name val="Calibri"/>
    </font>
    <font>
      <b/>
      <sz val="11"/>
      <color rgb="FFFFFFFF"/>
      <name val="Calibri"/>
    </font>
    <font>
      <sz val="11"/>
      <name val="Consolas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1F4E78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 applyAlignment="1">
      <alignment vertical="top"/>
    </xf>
    <xf numFmtId="0" fontId="0" fillId="0" borderId="0" xfId="0" applyAlignment="1">
      <alignment vertical="top" wrapText="1"/>
    </xf>
    <xf numFmtId="0" fontId="3" fillId="3" borderId="0" xfId="0" applyFont="1" applyFill="1" applyAlignment="1">
      <alignment vertical="center" wrapText="1"/>
    </xf>
    <xf numFmtId="0" fontId="0" fillId="0" borderId="0" xfId="0" applyAlignment="1">
      <alignment wrapText="1"/>
    </xf>
    <xf numFmtId="164" fontId="0" fillId="0" borderId="0" xfId="0" applyNumberFormat="1"/>
    <xf numFmtId="0" fontId="3" fillId="3" borderId="0" xfId="0" applyFont="1" applyFill="1"/>
    <xf numFmtId="0" fontId="4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1" fillId="2" borderId="0" xfId="0" applyFont="1" applyFill="1" applyAlignment="1">
      <alignment vertical="center" wrapText="1"/>
    </xf>
    <xf numFmtId="0" fontId="0" fillId="0" borderId="0" xfId="0"/>
  </cellXfs>
  <cellStyles count="1">
    <cellStyle name="Normal" xfId="0" builtinId="0"/>
  </cellStyles>
  <dxfs count="27">
    <dxf>
      <fill>
        <patternFill patternType="solid">
          <fgColor rgb="FFFFC7CE"/>
        </patternFill>
      </fill>
    </dxf>
    <dxf>
      <fill>
        <patternFill patternType="solid">
          <fgColor rgb="FFFCE4D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214.007805787034" createdVersion="8" refreshedVersion="8" minRefreshableVersion="3" recordCount="420" xr:uid="{A7337760-DE13-4A93-BAC8-CD65A3DF0E3D}">
  <cacheSource type="worksheet">
    <worksheetSource name="SurveyTbl"/>
  </cacheSource>
  <cacheFields count="31">
    <cacheField name="submission_id" numFmtId="0">
      <sharedItems/>
    </cacheField>
    <cacheField name="response_id" numFmtId="0">
      <sharedItems/>
    </cacheField>
    <cacheField name="synthetic_data" numFmtId="0">
      <sharedItems/>
    </cacheField>
    <cacheField name="survey_version" numFmtId="0">
      <sharedItems/>
    </cacheField>
    <cacheField name="survey_round" numFmtId="0">
      <sharedItems/>
    </cacheField>
    <cacheField name="interview_date" numFmtId="14">
      <sharedItems containsNonDate="0" containsDate="1" containsString="0" containsBlank="1" minDate="2025-04-01T00:00:00" maxDate="2026-01-16T00:00:00"/>
    </cacheField>
    <cacheField name="program_start_date" numFmtId="14">
      <sharedItems containsNonDate="0" containsDate="1" containsString="0" containsBlank="1" minDate="2024-11-10T00:00:00" maxDate="2025-09-13T00:00:00"/>
    </cacheField>
    <cacheField name="region_code" numFmtId="0">
      <sharedItems/>
    </cacheField>
    <cacheField name="site_code" numFmtId="0">
      <sharedItems/>
    </cacheField>
    <cacheField name="enumerator_code" numFmtId="0">
      <sharedItems/>
    </cacheField>
    <cacheField name="consent" numFmtId="0">
      <sharedItems/>
    </cacheField>
    <cacheField name="age_group" numFmtId="0">
      <sharedItems/>
    </cacheField>
    <cacheField name="gender" numFmtId="0">
      <sharedItems/>
    </cacheField>
    <cacheField name="household_size" numFmtId="0">
      <sharedItems containsString="0" containsBlank="1" containsNumber="1" containsInteger="1" minValue="0" maxValue="99"/>
    </cacheField>
    <cacheField name="disability_access" numFmtId="0">
      <sharedItems/>
    </cacheField>
    <cacheField name="participated_training" numFmtId="0">
      <sharedItems count="3">
        <s v="yes"/>
        <s v="no"/>
        <s v=""/>
      </sharedItems>
    </cacheField>
    <cacheField name="training_date" numFmtId="14">
      <sharedItems containsNonDate="0" containsDate="1" containsString="0" containsBlank="1" minDate="2024-12-09T00:00:00" maxDate="2025-09-28T00:00:00"/>
    </cacheField>
    <cacheField name="training_topic" numFmtId="0">
      <sharedItems/>
    </cacheField>
    <cacheField name="satisfaction_score" numFmtId="0">
      <sharedItems containsString="0" containsBlank="1" containsNumber="1" containsInteger="1" minValue="1" maxValue="9"/>
    </cacheField>
    <cacheField name="knowledge_before" numFmtId="0">
      <sharedItems containsString="0" containsBlank="1" containsNumber="1" containsInteger="1" minValue="1" maxValue="4"/>
    </cacheField>
    <cacheField name="knowledge_after" numFmtId="0">
      <sharedItems containsString="0" containsBlank="1" containsNumber="1" containsInteger="1" minValue="1" maxValue="5"/>
    </cacheField>
    <cacheField name="used_skill" numFmtId="0">
      <sharedItems/>
    </cacheField>
    <cacheField name="service_access" numFmtId="0">
      <sharedItems containsString="0" containsBlank="1" containsNumber="1" containsInteger="1" minValue="1" maxValue="5"/>
    </cacheField>
    <cacheField name="follow_up_requested" numFmtId="0">
      <sharedItems/>
    </cacheField>
    <cacheField name="preferred_channel" numFmtId="0">
      <sharedItems/>
    </cacheField>
    <cacheField name="open_comment" numFmtId="0">
      <sharedItems/>
    </cacheField>
    <cacheField name="completion_minutes" numFmtId="0">
      <sharedItems containsString="0" containsBlank="1" containsNumber="1" minValue="1" maxValue="180"/>
    </cacheField>
    <cacheField name="region_label" numFmtId="0">
      <sharedItems count="5">
        <s v="North Region (fictional)"/>
        <s v="West Region (fictional)"/>
        <s v="East Region (fictional)"/>
        <s v="UNMAPPED"/>
        <s v="South Region (fictional)"/>
      </sharedItems>
    </cacheField>
    <cacheField name="round_label" numFmtId="0">
      <sharedItems/>
    </cacheField>
    <cacheField name="topic_label" numFmtId="0">
      <sharedItems/>
    </cacheField>
    <cacheField name="channel_lab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214.00780590278" createdVersion="8" refreshedVersion="8" minRefreshableVersion="3" recordCount="420" xr:uid="{EAB71B56-7F38-4745-B4B7-07DB0555531C}">
  <cacheSource type="worksheet">
    <worksheetSource name="SurveyTbl"/>
  </cacheSource>
  <cacheFields count="31">
    <cacheField name="submission_id" numFmtId="0">
      <sharedItems/>
    </cacheField>
    <cacheField name="response_id" numFmtId="0">
      <sharedItems/>
    </cacheField>
    <cacheField name="synthetic_data" numFmtId="0">
      <sharedItems/>
    </cacheField>
    <cacheField name="survey_version" numFmtId="0">
      <sharedItems/>
    </cacheField>
    <cacheField name="survey_round" numFmtId="0">
      <sharedItems/>
    </cacheField>
    <cacheField name="interview_date" numFmtId="14">
      <sharedItems containsNonDate="0" containsDate="1" containsString="0" containsBlank="1" minDate="2025-04-01T00:00:00" maxDate="2026-01-16T00:00:00"/>
    </cacheField>
    <cacheField name="program_start_date" numFmtId="14">
      <sharedItems containsNonDate="0" containsDate="1" containsString="0" containsBlank="1" minDate="2024-11-10T00:00:00" maxDate="2025-09-13T00:00:00"/>
    </cacheField>
    <cacheField name="region_code" numFmtId="0">
      <sharedItems/>
    </cacheField>
    <cacheField name="site_code" numFmtId="0">
      <sharedItems/>
    </cacheField>
    <cacheField name="enumerator_code" numFmtId="0">
      <sharedItems/>
    </cacheField>
    <cacheField name="consent" numFmtId="0">
      <sharedItems/>
    </cacheField>
    <cacheField name="age_group" numFmtId="0">
      <sharedItems/>
    </cacheField>
    <cacheField name="gender" numFmtId="0">
      <sharedItems/>
    </cacheField>
    <cacheField name="household_size" numFmtId="0">
      <sharedItems containsString="0" containsBlank="1" containsNumber="1" containsInteger="1" minValue="0" maxValue="99"/>
    </cacheField>
    <cacheField name="disability_access" numFmtId="0">
      <sharedItems/>
    </cacheField>
    <cacheField name="participated_training" numFmtId="0">
      <sharedItems/>
    </cacheField>
    <cacheField name="training_date" numFmtId="14">
      <sharedItems containsNonDate="0" containsDate="1" containsString="0" containsBlank="1" minDate="2024-12-09T00:00:00" maxDate="2025-09-28T00:00:00"/>
    </cacheField>
    <cacheField name="training_topic" numFmtId="0">
      <sharedItems/>
    </cacheField>
    <cacheField name="satisfaction_score" numFmtId="0">
      <sharedItems containsString="0" containsBlank="1" containsNumber="1" containsInteger="1" minValue="1" maxValue="9"/>
    </cacheField>
    <cacheField name="knowledge_before" numFmtId="0">
      <sharedItems containsString="0" containsBlank="1" containsNumber="1" containsInteger="1" minValue="1" maxValue="4"/>
    </cacheField>
    <cacheField name="knowledge_after" numFmtId="0">
      <sharedItems containsString="0" containsBlank="1" containsNumber="1" containsInteger="1" minValue="1" maxValue="5"/>
    </cacheField>
    <cacheField name="used_skill" numFmtId="0">
      <sharedItems/>
    </cacheField>
    <cacheField name="service_access" numFmtId="0">
      <sharedItems containsString="0" containsBlank="1" containsNumber="1" containsInteger="1" minValue="1" maxValue="5"/>
    </cacheField>
    <cacheField name="follow_up_requested" numFmtId="0">
      <sharedItems/>
    </cacheField>
    <cacheField name="preferred_channel" numFmtId="0">
      <sharedItems/>
    </cacheField>
    <cacheField name="open_comment" numFmtId="0">
      <sharedItems/>
    </cacheField>
    <cacheField name="completion_minutes" numFmtId="0">
      <sharedItems containsString="0" containsBlank="1" containsNumber="1" minValue="1" maxValue="180"/>
    </cacheField>
    <cacheField name="region_label" numFmtId="0">
      <sharedItems count="5">
        <s v="North Region (fictional)"/>
        <s v="West Region (fictional)"/>
        <s v="East Region (fictional)"/>
        <s v="UNMAPPED"/>
        <s v="South Region (fictional)"/>
      </sharedItems>
    </cacheField>
    <cacheField name="round_label" numFmtId="0">
      <sharedItems count="3">
        <s v="Round 2"/>
        <s v="Round 1"/>
        <s v="UNMAPPED"/>
      </sharedItems>
    </cacheField>
    <cacheField name="topic_label" numFmtId="0">
      <sharedItems/>
    </cacheField>
    <cacheField name="channel_lab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0">
  <r>
    <s v="SUB-0064"/>
    <s v="SYN-0064"/>
    <s v="yes"/>
    <s v="1.0.0"/>
    <s v="ROUND_2"/>
    <d v="2025-09-07T00:00:00"/>
    <d v="2025-05-16T00:00:00"/>
    <s v="NORTH"/>
    <s v="N01"/>
    <s v="ENUM_05"/>
    <s v="yes"/>
    <s v="35_44"/>
    <s v="man"/>
    <n v="4"/>
    <s v="no"/>
    <x v="0"/>
    <d v="2025-09-05T00:00:00"/>
    <s v="digital_skills"/>
    <n v="3"/>
    <n v="1"/>
    <n v="2"/>
    <s v="no"/>
    <n v="1"/>
    <s v="no"/>
    <s v=""/>
    <s v=""/>
    <n v="19.8"/>
    <x v="0"/>
    <s v="Round 2"/>
    <s v="Digital skills"/>
    <s v="UNMAPPED"/>
  </r>
  <r>
    <s v="SUB-0021"/>
    <s v="SYN-0021"/>
    <s v="yes"/>
    <s v="1.0.0"/>
    <s v="ROUND_1"/>
    <d v="2025-09-12T00:00:00"/>
    <d v="2025-06-03T00:00:00"/>
    <s v="NORTH"/>
    <s v="N03"/>
    <s v="ENUM_02"/>
    <s v="yes"/>
    <s v="18_24"/>
    <s v="man"/>
    <n v="2"/>
    <s v="no"/>
    <x v="0"/>
    <d v="2025-07-23T00:00:00"/>
    <s v="leadership"/>
    <n v="5"/>
    <n v="1"/>
    <n v="3"/>
    <s v="no"/>
    <n v="4"/>
    <s v="no"/>
    <s v=""/>
    <s v="I would like more examples about budgeting and record keeping."/>
    <n v="27.3"/>
    <x v="0"/>
    <s v="Round 1"/>
    <s v="Leadership"/>
    <s v="UNMAPPED"/>
  </r>
  <r>
    <s v="SUB-0089"/>
    <s v="SYN-0089"/>
    <s v="yes"/>
    <s v="1.0.0"/>
    <s v="ROUND_1"/>
    <d v="2025-09-02T00:00:00"/>
    <d v="2025-05-26T00:00:00"/>
    <s v="NORTH"/>
    <s v="N02"/>
    <s v="ENUM_04"/>
    <s v="yes"/>
    <s v="45_54"/>
    <s v="woman"/>
    <n v="6"/>
    <s v="no"/>
    <x v="1"/>
    <m/>
    <s v=""/>
    <m/>
    <m/>
    <m/>
    <s v=""/>
    <n v="4"/>
    <s v="no"/>
    <s v=""/>
    <s v=""/>
    <n v="30.1"/>
    <x v="0"/>
    <s v="Round 1"/>
    <s v="UNMAPPED"/>
    <s v="UNMAPPED"/>
  </r>
  <r>
    <s v="SUB-0057"/>
    <s v="SYN-0057"/>
    <s v="yes"/>
    <s v="1.0.0"/>
    <s v="ROUND_2"/>
    <d v="2025-09-02T00:00:00"/>
    <d v="2025-06-16T00:00:00"/>
    <s v="WEST"/>
    <s v="W02"/>
    <s v="ENUM_03"/>
    <s v="yes"/>
    <s v="25_34"/>
    <s v="woman"/>
    <n v="3"/>
    <s v="no"/>
    <x v="0"/>
    <d v="2025-09-01T00:00:00"/>
    <s v="financial_skills"/>
    <n v="4"/>
    <n v="3"/>
    <n v="4"/>
    <s v="no"/>
    <n v="3"/>
    <s v="no"/>
    <s v=""/>
    <s v=""/>
    <n v="26.5"/>
    <x v="1"/>
    <s v="Round 2"/>
    <s v="Financial skills"/>
    <s v="UNMAPPED"/>
  </r>
  <r>
    <s v="SUB-0190"/>
    <s v="SYN-0190"/>
    <s v="yes"/>
    <s v="1.0.0"/>
    <s v="ROUND_1"/>
    <d v="2025-07-21T00:00:00"/>
    <d v="2025-06-08T00:00:00"/>
    <s v="EAST"/>
    <s v="E03"/>
    <s v="ENUM_07"/>
    <s v="yes"/>
    <s v="25_34"/>
    <s v="man"/>
    <n v="3"/>
    <s v="yes"/>
    <x v="0"/>
    <d v="2025-07-10T00:00:00"/>
    <s v="financial_skills"/>
    <n v="4"/>
    <n v="3"/>
    <n v="4"/>
    <s v="no"/>
    <n v="3"/>
    <s v="no"/>
    <s v=""/>
    <s v=""/>
    <n v="27.2"/>
    <x v="2"/>
    <s v="Round 1"/>
    <s v="Financial skills"/>
    <s v="UNMAPPED"/>
  </r>
  <r>
    <s v="SUB-0108"/>
    <s v="SYN-0108"/>
    <s v="yes"/>
    <s v="1.0.0"/>
    <s v="ROUND_1"/>
    <d v="2025-04-02T00:00:00"/>
    <d v="2024-12-23T00:00:00"/>
    <s v="WEST"/>
    <s v="W02"/>
    <s v="ENUM_08"/>
    <s v="yes"/>
    <s v="55_plus"/>
    <s v="woman"/>
    <n v="4"/>
    <s v="no"/>
    <x v="0"/>
    <d v="2025-03-30T00:00:00"/>
    <s v="planning"/>
    <n v="3"/>
    <n v="1"/>
    <n v="3"/>
    <s v="yes"/>
    <n v="3"/>
    <s v="no"/>
    <s v=""/>
    <s v="Travel to the meeting location was difficult during bad weather."/>
    <n v="26.9"/>
    <x v="1"/>
    <s v="Round 1"/>
    <s v="Planning"/>
    <s v="UNMAPPED"/>
  </r>
  <r>
    <s v="SUB-0304"/>
    <s v="SYN-0304"/>
    <s v="yes"/>
    <s v="1.0.0"/>
    <s v="ROUND_2"/>
    <d v="2025-08-21T00:00:00"/>
    <d v="2025-05-09T00:00:00"/>
    <s v=""/>
    <s v="W02"/>
    <s v="ENUM_05"/>
    <s v="yes"/>
    <s v="25_34"/>
    <s v="man"/>
    <n v="10"/>
    <s v="no"/>
    <x v="0"/>
    <d v="2025-06-04T00:00:00"/>
    <s v="planning"/>
    <n v="4"/>
    <n v="4"/>
    <n v="5"/>
    <s v="no"/>
    <n v="2"/>
    <s v="no"/>
    <s v=""/>
    <s v=""/>
    <n v="21.2"/>
    <x v="3"/>
    <s v="Round 2"/>
    <s v="Planning"/>
    <s v="UNMAPPED"/>
  </r>
  <r>
    <s v="SUB-0237"/>
    <s v="SYN-0237"/>
    <s v="yes"/>
    <s v="1.0.0"/>
    <s v="ROUND_2"/>
    <d v="2025-05-03T00:00:00"/>
    <d v="2025-02-23T00:00:00"/>
    <s v="NORTH"/>
    <s v="N02"/>
    <s v="ENUM_08"/>
    <s v="yes"/>
    <s v="45_54"/>
    <s v="man"/>
    <n v="4"/>
    <s v="no"/>
    <x v="0"/>
    <d v="2025-04-10T00:00:00"/>
    <s v="planning"/>
    <n v="3"/>
    <n v="1"/>
    <n v="1"/>
    <s v="yes"/>
    <n v="3"/>
    <s v="no"/>
    <s v=""/>
    <s v=""/>
    <n v="4.5"/>
    <x v="0"/>
    <s v="Round 2"/>
    <s v="Planning"/>
    <s v="UNMAPPED"/>
  </r>
  <r>
    <s v="SUB-0011"/>
    <s v="SYN-0011"/>
    <s v="yes"/>
    <s v="1.0.0"/>
    <s v="ROUND_2"/>
    <d v="2025-06-16T00:00:00"/>
    <d v="2025-05-08T00:00:00"/>
    <s v="WEST"/>
    <s v="W03"/>
    <s v="ENUM_03"/>
    <s v="yes"/>
    <s v="25_34"/>
    <s v="man"/>
    <n v="6"/>
    <s v="no"/>
    <x v="1"/>
    <m/>
    <s v=""/>
    <m/>
    <m/>
    <m/>
    <s v=""/>
    <n v="3"/>
    <s v="no"/>
    <s v=""/>
    <s v=""/>
    <n v="8.1"/>
    <x v="1"/>
    <s v="Round 2"/>
    <s v="UNMAPPED"/>
    <s v="UNMAPPED"/>
  </r>
  <r>
    <s v="SUB-0198"/>
    <s v="SYN-0198"/>
    <s v="yes"/>
    <s v="1.0.0"/>
    <s v="ROUND_1"/>
    <d v="2025-06-02T00:00:00"/>
    <d v="2025-01-06T00:00:00"/>
    <s v="NORTH"/>
    <s v="N02"/>
    <s v="ENUM_03"/>
    <s v="yes"/>
    <s v="55_plus"/>
    <s v="woman"/>
    <n v="2"/>
    <s v="yes"/>
    <x v="0"/>
    <d v="2025-04-22T00:00:00"/>
    <s v="digital_skills"/>
    <n v="4"/>
    <n v="4"/>
    <n v="4"/>
    <s v="no"/>
    <n v="1"/>
    <s v="no"/>
    <s v=""/>
    <s v=""/>
    <n v="14.1"/>
    <x v="0"/>
    <s v="Round 1"/>
    <s v="Digital skills"/>
    <s v="UNMAPPED"/>
  </r>
  <r>
    <s v="SUB-0097"/>
    <s v="SYN-0097"/>
    <s v="yes"/>
    <s v="1.0.0"/>
    <s v="ROUND_2"/>
    <d v="2025-08-29T00:00:00"/>
    <d v="2025-05-07T00:00:00"/>
    <s v="NORTH"/>
    <s v="N03"/>
    <s v="ENUM_01"/>
    <s v="yes"/>
    <s v="18_24"/>
    <s v="man"/>
    <n v="4"/>
    <s v="no"/>
    <x v="0"/>
    <d v="2025-08-29T00:00:00"/>
    <s v="financial_skills"/>
    <n v="5"/>
    <n v="2"/>
    <n v="3"/>
    <s v="no"/>
    <n v="4"/>
    <s v="no"/>
    <s v=""/>
    <s v=""/>
    <n v="28.8"/>
    <x v="0"/>
    <s v="Round 2"/>
    <s v="Financial skills"/>
    <s v="UNMAPPED"/>
  </r>
  <r>
    <s v="SUB-0020"/>
    <s v="SYN-0020"/>
    <s v="yes"/>
    <s v="1.0.0"/>
    <s v="ROUND_2"/>
    <d v="2025-08-27T00:00:00"/>
    <d v="2025-07-04T00:00:00"/>
    <s v="WEST"/>
    <s v="W02"/>
    <s v="ENUM_03"/>
    <s v="yes"/>
    <s v="25_34"/>
    <s v="woman"/>
    <n v="7"/>
    <s v="yes"/>
    <x v="0"/>
    <d v="2025-07-17T00:00:00"/>
    <s v="leadership"/>
    <n v="4"/>
    <n v="2"/>
    <n v="4"/>
    <s v="yes"/>
    <n v="4"/>
    <s v="no"/>
    <s v=""/>
    <s v=""/>
    <n v="28.9"/>
    <x v="1"/>
    <s v="Round 2"/>
    <s v="Leadership"/>
    <s v="UNMAPPED"/>
  </r>
  <r>
    <s v="SUB-0131"/>
    <s v="SYN-0131"/>
    <s v="yes"/>
    <s v="1.0.0"/>
    <s v="ROUND_2"/>
    <d v="2025-04-15T00:00:00"/>
    <d v="2025-02-27T00:00:00"/>
    <s v="EAST"/>
    <s v="E01"/>
    <s v="ENUM_04"/>
    <s v="yes"/>
    <s v="25_34"/>
    <s v="woman"/>
    <n v="1"/>
    <s v="no"/>
    <x v="0"/>
    <d v="2025-03-08T00:00:00"/>
    <s v="financial_skills"/>
    <n v="5"/>
    <n v="1"/>
    <n v="2"/>
    <s v="yes"/>
    <n v="5"/>
    <s v="yes"/>
    <s v="community_meeting"/>
    <s v=""/>
    <n v="18.7"/>
    <x v="2"/>
    <s v="Round 2"/>
    <s v="Financial skills"/>
    <s v="Community meeting"/>
  </r>
  <r>
    <s v="SUB-0032"/>
    <s v="SYN-0032"/>
    <s v="yes"/>
    <s v="1.0.0"/>
    <s v="ROUND_2"/>
    <d v="2025-06-29T00:00:00"/>
    <d v="2025-04-27T00:00:00"/>
    <s v="EAST"/>
    <s v="E01"/>
    <s v="ENUM_06"/>
    <s v="yes"/>
    <s v="35_44"/>
    <s v="man"/>
    <n v="7"/>
    <s v="no"/>
    <x v="0"/>
    <d v="2025-05-15T00:00:00"/>
    <s v="leadership"/>
    <n v="3"/>
    <n v="3"/>
    <n v="5"/>
    <s v="no"/>
    <n v="2"/>
    <s v="no"/>
    <s v=""/>
    <s v=""/>
    <n v="9.9"/>
    <x v="2"/>
    <s v="Round 2"/>
    <s v="Leadership"/>
    <s v="UNMAPPED"/>
  </r>
  <r>
    <s v="SUB-0063"/>
    <s v="SYN-0063"/>
    <s v="yes"/>
    <s v="1.0.0"/>
    <s v="ROUND_2"/>
    <d v="2025-08-09T00:00:00"/>
    <d v="2025-04-07T00:00:00"/>
    <s v="EAST"/>
    <s v="E03"/>
    <s v="ENUM_02"/>
    <s v="yes"/>
    <s v="25_34"/>
    <s v="man"/>
    <n v="2"/>
    <s v="no"/>
    <x v="1"/>
    <m/>
    <s v=""/>
    <m/>
    <m/>
    <m/>
    <s v=""/>
    <n v="5"/>
    <s v="no"/>
    <s v=""/>
    <s v=""/>
    <n v="19.7"/>
    <x v="2"/>
    <s v="Round 2"/>
    <s v="UNMAPPED"/>
    <s v="UNMAPPED"/>
  </r>
  <r>
    <s v="SUB-0249"/>
    <s v="SYN-0249"/>
    <s v="yes"/>
    <s v="1.0.0"/>
    <s v="ROUND_1"/>
    <d v="2025-09-23T00:00:00"/>
    <d v="2025-04-27T00:00:00"/>
    <s v="NORTH"/>
    <s v="N01"/>
    <s v="ENUM_06"/>
    <s v="yes"/>
    <s v="45_54"/>
    <s v="woman"/>
    <n v="2"/>
    <s v="no"/>
    <x v="0"/>
    <d v="2025-05-12T00:00:00"/>
    <s v="planning"/>
    <n v="3"/>
    <n v="3"/>
    <n v="5"/>
    <s v="yes"/>
    <n v="3"/>
    <s v="no"/>
    <s v=""/>
    <s v=""/>
    <n v="19.5"/>
    <x v="0"/>
    <s v="Round 1"/>
    <s v="Planning"/>
    <s v="UNMAPPED"/>
  </r>
  <r>
    <s v="SUB-0141"/>
    <s v="SYN-0141"/>
    <s v="yes"/>
    <s v="1.0.0"/>
    <s v="ROUND_1"/>
    <d v="2025-04-20T00:00:00"/>
    <d v="2025-02-07T00:00:00"/>
    <s v="EAST"/>
    <s v="E01"/>
    <s v="ENUM_01"/>
    <s v="yes"/>
    <s v="35_44"/>
    <s v="woman"/>
    <n v="4"/>
    <s v="no"/>
    <x v="0"/>
    <d v="2025-02-13T00:00:00"/>
    <s v="planning"/>
    <n v="4"/>
    <n v="3"/>
    <n v="3"/>
    <s v="yes"/>
    <n v="5"/>
    <s v="no"/>
    <s v=""/>
    <s v=""/>
    <n v="29.6"/>
    <x v="2"/>
    <s v="Round 1"/>
    <s v="Planning"/>
    <s v="UNMAPPED"/>
  </r>
  <r>
    <s v="SUB-0280"/>
    <s v="SYN-0280"/>
    <s v="yes"/>
    <s v="1.0.0"/>
    <s v="ROUND_2"/>
    <d v="2025-09-07T00:00:00"/>
    <d v="2025-05-10T00:00:00"/>
    <s v="WEST"/>
    <s v="W02"/>
    <s v="ENUM_04"/>
    <s v="yes"/>
    <s v="35_44"/>
    <s v="woman"/>
    <n v="4"/>
    <s v="no"/>
    <x v="1"/>
    <m/>
    <s v=""/>
    <m/>
    <m/>
    <m/>
    <s v=""/>
    <n v="4"/>
    <s v="no"/>
    <s v=""/>
    <s v=""/>
    <n v="12.8"/>
    <x v="1"/>
    <s v="Round 2"/>
    <s v="UNMAPPED"/>
    <s v="UNMAPPED"/>
  </r>
  <r>
    <s v="SUB-0031"/>
    <s v="SYN-0031"/>
    <s v="yes"/>
    <s v="1.0.0"/>
    <s v="ROUND_2"/>
    <d v="2025-06-09T00:00:00"/>
    <d v="2025-04-25T00:00:00"/>
    <s v="EAST"/>
    <s v="E02"/>
    <s v="ENUM_01"/>
    <s v="yes"/>
    <s v="35_44"/>
    <s v="woman"/>
    <n v="3"/>
    <s v="no"/>
    <x v="0"/>
    <d v="2025-05-21T00:00:00"/>
    <s v="planning"/>
    <n v="4"/>
    <n v="1"/>
    <n v="2"/>
    <s v="no"/>
    <n v="3"/>
    <s v="no"/>
    <s v=""/>
    <s v=""/>
    <n v="20"/>
    <x v="2"/>
    <s v="Round 2"/>
    <s v="Planning"/>
    <s v="UNMAPPED"/>
  </r>
  <r>
    <s v="SUB-DUP-006"/>
    <s v="SYN-0305"/>
    <s v="yes"/>
    <s v="1.0.0"/>
    <s v="ROUND_1"/>
    <d v="2025-08-16T00:00:00"/>
    <d v="2025-07-14T00:00:00"/>
    <s v="WEST"/>
    <s v="W02"/>
    <s v="ENUM_04"/>
    <s v="yes"/>
    <s v="18_24"/>
    <s v="man"/>
    <n v="4"/>
    <s v="yes"/>
    <x v="0"/>
    <d v="2025-07-22T00:00:00"/>
    <s v="planning"/>
    <n v="3"/>
    <n v="1"/>
    <n v="3"/>
    <s v="no"/>
    <n v="5"/>
    <s v="yes"/>
    <s v="radio"/>
    <s v=""/>
    <n v="6.3"/>
    <x v="1"/>
    <s v="Round 1"/>
    <s v="Planning"/>
    <s v="Radio"/>
  </r>
  <r>
    <s v="SUB-0183"/>
    <s v="SYN-0183"/>
    <s v="yes"/>
    <s v="1.0.0"/>
    <s v="ROUND_1"/>
    <d v="2026-01-15T00:00:00"/>
    <d v="2025-05-05T00:00:00"/>
    <s v="SOUTH"/>
    <s v="S01"/>
    <s v="ENUM_04"/>
    <s v="yes"/>
    <s v="55_plus"/>
    <s v="man"/>
    <n v="6"/>
    <s v="no"/>
    <x v="0"/>
    <d v="2025-07-01T00:00:00"/>
    <s v="financial_skills"/>
    <n v="3"/>
    <n v="4"/>
    <n v="5"/>
    <s v="yes"/>
    <n v="5"/>
    <s v="no"/>
    <s v=""/>
    <s v=""/>
    <n v="28"/>
    <x v="4"/>
    <s v="Round 1"/>
    <s v="Financial skills"/>
    <s v="UNMAPPED"/>
  </r>
  <r>
    <s v="SUB-0379"/>
    <s v="SYN-0379"/>
    <s v="yes"/>
    <s v="1.0.0"/>
    <s v="ROUND_2"/>
    <d v="2025-04-04T00:00:00"/>
    <d v="2025-02-14T00:00:00"/>
    <s v="WEST"/>
    <s v="W01"/>
    <s v="ENUM_08"/>
    <s v="yes"/>
    <s v="18_24"/>
    <s v="man"/>
    <n v="4"/>
    <s v="no"/>
    <x v="0"/>
    <d v="2025-03-02T00:00:00"/>
    <s v="planning"/>
    <n v="4"/>
    <n v="2"/>
    <n v="3"/>
    <s v="no"/>
    <n v="3"/>
    <s v="yes"/>
    <s v="printed_material"/>
    <s v="The facilitator explained the topic clearly and respectfully."/>
    <n v="17.600000000000001"/>
    <x v="1"/>
    <s v="Round 2"/>
    <s v="Planning"/>
    <s v="Printed material"/>
  </r>
  <r>
    <s v="SUB-0382"/>
    <s v="SYN-0382"/>
    <s v="yes"/>
    <s v="1.0.0"/>
    <s v="ROUND_2"/>
    <d v="2025-04-03T00:00:00"/>
    <d v="2024-11-14T00:00:00"/>
    <s v="WEST"/>
    <s v="W02"/>
    <s v="ENUM_01"/>
    <s v="yes"/>
    <s v="25_34"/>
    <s v="woman"/>
    <n v="7"/>
    <s v="yes"/>
    <x v="0"/>
    <d v="2024-12-26T00:00:00"/>
    <s v="financial_skills"/>
    <n v="2"/>
    <n v="3"/>
    <n v="4"/>
    <s v="no"/>
    <n v="4"/>
    <s v="no"/>
    <s v=""/>
    <s v=""/>
    <n v="15.4"/>
    <x v="1"/>
    <s v="Round 2"/>
    <s v="Financial skills"/>
    <s v="UNMAPPED"/>
  </r>
  <r>
    <s v="SUB-0259"/>
    <s v="SYN-0259"/>
    <s v="yes"/>
    <s v="1.0.0"/>
    <s v="ROUND_2"/>
    <d v="2025-06-03T00:00:00"/>
    <d v="2025-01-15T00:00:00"/>
    <s v="NORTH"/>
    <s v="N02"/>
    <s v="ENUM_07"/>
    <s v="yes"/>
    <s v="25_34"/>
    <s v="man"/>
    <n v="6"/>
    <s v="no"/>
    <x v="0"/>
    <d v="2025-04-03T00:00:00"/>
    <s v="planning"/>
    <n v="5"/>
    <n v="3"/>
    <n v="4"/>
    <s v="no"/>
    <n v="3"/>
    <s v="no"/>
    <s v=""/>
    <s v=""/>
    <n v="17.8"/>
    <x v="0"/>
    <s v="Round 2"/>
    <s v="Planning"/>
    <s v="UNMAPPED"/>
  </r>
  <r>
    <s v="SUB-0360"/>
    <s v="SYN-0360"/>
    <s v="yes"/>
    <s v="1.0.0"/>
    <s v="ROUND_1"/>
    <d v="2025-06-17T00:00:00"/>
    <d v="2025-01-26T00:00:00"/>
    <s v="WEST"/>
    <s v="W01"/>
    <s v="ENUM_03"/>
    <s v="yes"/>
    <s v="45_54"/>
    <s v="man"/>
    <n v="4"/>
    <s v="yes"/>
    <x v="1"/>
    <m/>
    <s v=""/>
    <m/>
    <m/>
    <m/>
    <s v=""/>
    <n v="3"/>
    <s v="no"/>
    <s v=""/>
    <s v=""/>
    <n v="20.3"/>
    <x v="1"/>
    <s v="Round 1"/>
    <s v="UNMAPPED"/>
    <s v="UNMAPPED"/>
  </r>
  <r>
    <s v="SUB-0396"/>
    <s v="SYN-0396"/>
    <s v="yes"/>
    <s v="1.0.0"/>
    <s v="ROUND_2"/>
    <d v="2025-08-16T00:00:00"/>
    <d v="2025-06-29T00:00:00"/>
    <s v="WEST"/>
    <s v="W02"/>
    <s v="ENUM_04"/>
    <s v="yes"/>
    <s v="25_34"/>
    <s v="woman"/>
    <n v="2"/>
    <s v="no"/>
    <x v="0"/>
    <d v="2025-07-12T00:00:00"/>
    <s v="leadership"/>
    <n v="4"/>
    <n v="2"/>
    <n v="2"/>
    <s v="no"/>
    <n v="5"/>
    <s v="yes"/>
    <s v="radio"/>
    <s v="The facilitator explained the topic clearly and respectfully."/>
    <n v="21.7"/>
    <x v="1"/>
    <s v="Round 2"/>
    <s v="Leadership"/>
    <s v="Radio"/>
  </r>
  <r>
    <s v="SUB-0028"/>
    <s v="SYN-0028"/>
    <s v="yes"/>
    <s v="1.0.0"/>
    <s v="ROUND_2"/>
    <d v="2025-04-02T00:00:00"/>
    <d v="2024-11-19T00:00:00"/>
    <s v="NORTH"/>
    <s v="N03"/>
    <s v="ENUM_04"/>
    <s v="yes"/>
    <s v="25_34"/>
    <s v="man"/>
    <n v="3"/>
    <s v="no"/>
    <x v="0"/>
    <d v="2024-12-18T00:00:00"/>
    <s v="planning"/>
    <n v="4"/>
    <n v="2"/>
    <n v="2"/>
    <s v="no"/>
    <n v="5"/>
    <s v="yes"/>
    <s v="community_meeting"/>
    <s v="The facilitator explained the topic clearly and respectfully."/>
    <n v="16.7"/>
    <x v="0"/>
    <s v="Round 2"/>
    <s v="Planning"/>
    <s v="Community meeting"/>
  </r>
  <r>
    <s v="SUB-0389"/>
    <s v="SYN-0389"/>
    <s v="yes"/>
    <s v="1.0.0"/>
    <s v="ROUND_1"/>
    <d v="2025-07-09T00:00:00"/>
    <d v="2025-04-29T00:00:00"/>
    <s v="EAST"/>
    <s v="E03"/>
    <s v="ENUM_08"/>
    <s v="yes"/>
    <s v="35_44"/>
    <s v="woman"/>
    <n v="5"/>
    <s v="no"/>
    <x v="1"/>
    <m/>
    <s v=""/>
    <m/>
    <m/>
    <m/>
    <s v=""/>
    <n v="3"/>
    <s v="no"/>
    <s v=""/>
    <s v=""/>
    <n v="25.1"/>
    <x v="2"/>
    <s v="Round 1"/>
    <s v="UNMAPPED"/>
    <s v="UNMAPPED"/>
  </r>
  <r>
    <s v="SUB-0331"/>
    <s v="SYN-0331"/>
    <s v="yes"/>
    <s v="1.0.0"/>
    <s v="ROUND_1"/>
    <d v="2025-04-21T00:00:00"/>
    <d v="2025-01-08T00:00:00"/>
    <s v="SOUTH"/>
    <s v="S01"/>
    <s v="ENUM_01"/>
    <s v="yes"/>
    <s v="18_24"/>
    <s v="man"/>
    <n v="5"/>
    <s v="yes"/>
    <x v="1"/>
    <m/>
    <s v=""/>
    <m/>
    <m/>
    <m/>
    <s v=""/>
    <n v="3"/>
    <s v="no"/>
    <s v=""/>
    <s v=""/>
    <n v="30.7"/>
    <x v="4"/>
    <s v="Round 1"/>
    <s v="UNMAPPED"/>
    <s v="UNMAPPED"/>
  </r>
  <r>
    <s v="SUB-0224"/>
    <s v="SYN-0224"/>
    <s v="yes"/>
    <s v="1.0.0"/>
    <s v=""/>
    <m/>
    <m/>
    <s v=""/>
    <s v=""/>
    <s v=""/>
    <s v="no"/>
    <s v=""/>
    <s v=""/>
    <m/>
    <s v=""/>
    <x v="2"/>
    <m/>
    <s v=""/>
    <m/>
    <m/>
    <m/>
    <s v=""/>
    <m/>
    <s v=""/>
    <s v=""/>
    <s v=""/>
    <m/>
    <x v="3"/>
    <s v="UNMAPPED"/>
    <s v="UNMAPPED"/>
    <s v="UNMAPPED"/>
  </r>
  <r>
    <s v="SUB-0152"/>
    <s v="SYN-0152"/>
    <s v="yes"/>
    <s v="1.0.0"/>
    <s v="ROUND_1"/>
    <d v="2025-04-19T00:00:00"/>
    <d v="2024-12-19T00:00:00"/>
    <s v="NORTH"/>
    <s v="N03"/>
    <s v="ENUM_05"/>
    <s v="yes"/>
    <s v="25_34"/>
    <s v="woman"/>
    <n v="5"/>
    <s v="no"/>
    <x v="0"/>
    <d v="2025-01-19T00:00:00"/>
    <s v="leadership"/>
    <n v="5"/>
    <n v="3"/>
    <n v="4"/>
    <s v="yes"/>
    <n v="3"/>
    <s v="no"/>
    <s v=""/>
    <s v=""/>
    <n v="28"/>
    <x v="0"/>
    <s v="Round 1"/>
    <s v="Leadership"/>
    <s v="UNMAPPED"/>
  </r>
  <r>
    <s v="SUB-0242"/>
    <s v="SYN-0242"/>
    <s v="yes"/>
    <s v="1.0.0"/>
    <s v="ROUND_2"/>
    <d v="2025-07-02T00:00:00"/>
    <d v="2025-04-25T00:00:00"/>
    <s v="EAST"/>
    <s v="E03"/>
    <s v="ENUM_07"/>
    <s v="yes"/>
    <s v="35_44"/>
    <s v="man"/>
    <n v="5"/>
    <s v="no"/>
    <x v="0"/>
    <d v="2025-06-13T00:00:00"/>
    <s v="digital_skills"/>
    <n v="5"/>
    <n v="1"/>
    <n v="2"/>
    <s v="no"/>
    <n v="4"/>
    <s v="no"/>
    <s v=""/>
    <s v=""/>
    <n v="20.3"/>
    <x v="2"/>
    <s v="Round 2"/>
    <s v="Digital skills"/>
    <s v="UNMAPPED"/>
  </r>
  <r>
    <s v="SUB-0284"/>
    <s v="SYN-0284"/>
    <s v="yes"/>
    <s v="1.0.0"/>
    <s v="ROUND_2"/>
    <d v="2025-07-02T00:00:00"/>
    <d v="2025-05-12T00:00:00"/>
    <s v="WEST"/>
    <s v="W03"/>
    <s v="ENUM_04"/>
    <s v="yes"/>
    <s v="45_54"/>
    <s v="woman"/>
    <n v="7"/>
    <s v="no"/>
    <x v="0"/>
    <d v="2025-06-11T00:00:00"/>
    <s v="leadership"/>
    <n v="4"/>
    <n v="3"/>
    <n v="3"/>
    <s v="yes"/>
    <n v="4"/>
    <s v="no"/>
    <s v=""/>
    <s v="A location closer to the community would improve attendance."/>
    <n v="14.4"/>
    <x v="1"/>
    <s v="Round 2"/>
    <s v="Leadership"/>
    <s v="UNMAPPED"/>
  </r>
  <r>
    <s v="SUB-0090"/>
    <s v="SYN-0090"/>
    <s v="yes"/>
    <s v="1.0.0"/>
    <s v="ROUND_1"/>
    <d v="2025-05-26T00:00:00"/>
    <d v="2025-04-14T00:00:00"/>
    <s v="NORTH"/>
    <s v="N01"/>
    <s v="ENUM_08"/>
    <s v="yes"/>
    <s v="25_34"/>
    <s v="non_binary"/>
    <n v="6"/>
    <s v="no"/>
    <x v="0"/>
    <d v="2025-05-17T00:00:00"/>
    <s v="planning"/>
    <n v="3"/>
    <n v="1"/>
    <n v="2"/>
    <s v="no"/>
    <n v="1"/>
    <s v="no"/>
    <s v=""/>
    <s v=""/>
    <n v="27.7"/>
    <x v="0"/>
    <s v="Round 1"/>
    <s v="Planning"/>
    <s v="UNMAPPED"/>
  </r>
  <r>
    <s v="SUB-0088"/>
    <s v="SYN-0088"/>
    <s v="yes"/>
    <s v="1.0.0"/>
    <s v=""/>
    <m/>
    <m/>
    <s v=""/>
    <s v=""/>
    <s v=""/>
    <s v="no"/>
    <s v=""/>
    <s v=""/>
    <m/>
    <s v=""/>
    <x v="2"/>
    <m/>
    <s v=""/>
    <m/>
    <m/>
    <m/>
    <s v=""/>
    <m/>
    <s v=""/>
    <s v=""/>
    <s v=""/>
    <m/>
    <x v="3"/>
    <s v="UNMAPPED"/>
    <s v="UNMAPPED"/>
    <s v="UNMAPPED"/>
  </r>
  <r>
    <s v="SUB-0105"/>
    <s v="SYN-0105"/>
    <s v="yes"/>
    <s v="1.0.0"/>
    <s v="ROUND_1"/>
    <d v="2025-06-30T00:00:00"/>
    <d v="2025-02-06T00:00:00"/>
    <s v="EAST"/>
    <s v="E02"/>
    <s v="ENUM_07"/>
    <s v="yes"/>
    <s v="25_34"/>
    <s v="woman"/>
    <n v="6"/>
    <s v="yes"/>
    <x v="0"/>
    <d v="2025-05-30T00:00:00"/>
    <s v="digital_skills"/>
    <n v="5"/>
    <n v="2"/>
    <n v="3"/>
    <s v="no"/>
    <n v="3"/>
    <s v="no"/>
    <s v=""/>
    <s v=""/>
    <n v="17.399999999999999"/>
    <x v="2"/>
    <s v="Round 1"/>
    <s v="Digital skills"/>
    <s v="UNMAPPED"/>
  </r>
  <r>
    <s v="SUB-0346"/>
    <s v="SYN-0346"/>
    <s v="yes"/>
    <s v="1.0.0"/>
    <s v="ROUND_1"/>
    <d v="2025-05-06T00:00:00"/>
    <d v="2025-02-21T00:00:00"/>
    <s v="EAST"/>
    <s v="E03"/>
    <s v="ENUM_04"/>
    <s v="yes"/>
    <s v="45_54"/>
    <s v="woman"/>
    <n v="4"/>
    <s v="no"/>
    <x v="1"/>
    <m/>
    <s v=""/>
    <m/>
    <m/>
    <m/>
    <s v=""/>
    <n v="5"/>
    <s v="yes"/>
    <s v="community_meeting"/>
    <s v=""/>
    <n v="13.4"/>
    <x v="2"/>
    <s v="Round 1"/>
    <s v="UNMAPPED"/>
    <s v="Community meeting"/>
  </r>
  <r>
    <s v="SUB-0165"/>
    <s v="SYN-0165"/>
    <s v="yes"/>
    <s v="1.0.0"/>
    <s v="ROUND_2"/>
    <d v="2025-09-12T00:00:00"/>
    <d v="2025-04-16T00:00:00"/>
    <s v="EAST"/>
    <s v="E01"/>
    <s v="ENUM_05"/>
    <s v="yes"/>
    <s v="35_44"/>
    <s v="man"/>
    <n v="3"/>
    <s v="no"/>
    <x v="1"/>
    <m/>
    <s v=""/>
    <m/>
    <m/>
    <m/>
    <s v=""/>
    <n v="3"/>
    <s v="yes"/>
    <s v="printed_material"/>
    <s v=""/>
    <n v="22.5"/>
    <x v="2"/>
    <s v="Round 2"/>
    <s v="UNMAPPED"/>
    <s v="Printed material"/>
  </r>
  <r>
    <s v="SUB-0126"/>
    <s v="SYN-0126"/>
    <s v="yes"/>
    <s v="1.0.0"/>
    <s v="ROUND_2"/>
    <d v="2025-06-18T00:00:00"/>
    <d v="2025-05-08T00:00:00"/>
    <s v="WEST"/>
    <s v="W03"/>
    <s v="ENUM_07"/>
    <s v="yes"/>
    <s v="35_44"/>
    <s v="woman"/>
    <n v="6"/>
    <s v="no"/>
    <x v="0"/>
    <d v="2025-05-27T00:00:00"/>
    <s v="leadership"/>
    <n v="5"/>
    <n v="2"/>
    <n v="3"/>
    <s v="no"/>
    <n v="3"/>
    <s v="no"/>
    <s v=""/>
    <s v=""/>
    <n v="14.5"/>
    <x v="1"/>
    <s v="Round 2"/>
    <s v="Leadership"/>
    <s v="UNMAPPED"/>
  </r>
  <r>
    <s v="SUB-0145"/>
    <s v="SYN-0145"/>
    <s v="yes"/>
    <s v="1.0.0"/>
    <s v="ROUND_1"/>
    <d v="2025-04-14T00:00:00"/>
    <d v="2025-01-27T00:00:00"/>
    <s v="NORTH"/>
    <s v="N03"/>
    <s v="ENUM_08"/>
    <s v="yes"/>
    <s v="25_34"/>
    <s v="man"/>
    <n v="6"/>
    <s v="no"/>
    <x v="0"/>
    <d v="2025-01-29T00:00:00"/>
    <s v="planning"/>
    <n v="4"/>
    <n v="2"/>
    <n v="2"/>
    <s v="no"/>
    <n v="2"/>
    <s v="no"/>
    <s v=""/>
    <s v=""/>
    <n v="18.100000000000001"/>
    <x v="0"/>
    <s v="Round 1"/>
    <s v="Planning"/>
    <s v="UNMAPPED"/>
  </r>
  <r>
    <s v="SUB-0308"/>
    <s v="SYN-0308"/>
    <s v="yes"/>
    <s v="1.0.0"/>
    <s v="ROUND_2"/>
    <d v="2025-05-31T00:00:00"/>
    <d v="2025-03-10T00:00:00"/>
    <s v="WEST"/>
    <s v="W02"/>
    <s v="ENUM_01"/>
    <s v="yes"/>
    <s v="25_34"/>
    <s v="woman"/>
    <n v="4"/>
    <s v="no"/>
    <x v="0"/>
    <d v="2025-05-27T00:00:00"/>
    <s v="planning"/>
    <n v="3"/>
    <n v="4"/>
    <n v="5"/>
    <s v="yes"/>
    <n v="4"/>
    <s v="yes"/>
    <s v="radio"/>
    <s v=""/>
    <n v="15"/>
    <x v="1"/>
    <s v="Round 2"/>
    <s v="Planning"/>
    <s v="Radio"/>
  </r>
  <r>
    <s v="SUB-0359"/>
    <s v="SYN-0359"/>
    <s v="yes"/>
    <s v="1.0.0"/>
    <s v="ROUND_2"/>
    <d v="2025-06-09T00:00:00"/>
    <d v="2025-04-15T00:00:00"/>
    <s v="EAST"/>
    <s v="E02"/>
    <s v="ENUM_02"/>
    <s v="yes"/>
    <s v="25_34"/>
    <s v="woman"/>
    <n v="5"/>
    <s v="no"/>
    <x v="0"/>
    <d v="2025-05-17T00:00:00"/>
    <s v="financial_skills"/>
    <n v="3"/>
    <n v="2"/>
    <n v="3"/>
    <s v="yes"/>
    <n v="1"/>
    <s v="no"/>
    <s v=""/>
    <s v=""/>
    <n v="21.8"/>
    <x v="2"/>
    <s v="Round 2"/>
    <s v="Financial skills"/>
    <s v="UNMAPPED"/>
  </r>
  <r>
    <s v="SUB-0004"/>
    <s v="SYN-0004"/>
    <s v="yes"/>
    <s v="1.0.0"/>
    <s v="ROUND_1"/>
    <d v="2025-09-18T00:00:00"/>
    <d v="2025-06-04T00:00:00"/>
    <s v="SOUTH"/>
    <s v="S03"/>
    <s v="ENUM_01"/>
    <s v="yes"/>
    <s v="25_34"/>
    <s v="woman"/>
    <n v="2"/>
    <s v="no"/>
    <x v="0"/>
    <d v="2025-06-05T00:00:00"/>
    <s v="leadership"/>
    <n v="4"/>
    <n v="2"/>
    <n v="3"/>
    <s v="yes"/>
    <n v="4"/>
    <s v="yes"/>
    <s v="printed_material"/>
    <s v=""/>
    <n v="18"/>
    <x v="4"/>
    <s v="Round 1"/>
    <s v="Leadership"/>
    <s v="Printed material"/>
  </r>
  <r>
    <s v="SUB-0287"/>
    <s v="SYN-0287"/>
    <s v="yes"/>
    <s v="1.0.0"/>
    <s v="ROUND_2"/>
    <d v="2025-07-17T00:00:00"/>
    <d v="2025-05-10T00:00:00"/>
    <s v="EAST"/>
    <s v="E01"/>
    <s v="ENUM_08"/>
    <s v="yes"/>
    <s v="35_44"/>
    <s v="man"/>
    <n v="4"/>
    <s v="no"/>
    <x v="1"/>
    <m/>
    <s v=""/>
    <m/>
    <m/>
    <m/>
    <s v=""/>
    <n v="5"/>
    <s v="yes"/>
    <s v="printed_material"/>
    <s v=""/>
    <n v="7.1"/>
    <x v="2"/>
    <s v="Round 2"/>
    <s v="UNMAPPED"/>
    <s v="Printed material"/>
  </r>
  <r>
    <s v="SUB-0055"/>
    <s v="SYN-0055"/>
    <s v="yes"/>
    <s v="1.0.0"/>
    <s v="ROUND_1"/>
    <d v="2025-07-12T00:00:00"/>
    <d v="2025-05-21T00:00:00"/>
    <s v="WEST"/>
    <s v="W01"/>
    <s v="ENUM_04"/>
    <s v="yes"/>
    <s v="45_54"/>
    <s v="woman"/>
    <n v="3"/>
    <s v="no"/>
    <x v="0"/>
    <d v="2025-07-05T00:00:00"/>
    <s v="financial_skills"/>
    <n v="4"/>
    <n v="4"/>
    <n v="5"/>
    <s v="yes"/>
    <n v="4"/>
    <s v="no"/>
    <s v=""/>
    <s v=""/>
    <n v="32.5"/>
    <x v="1"/>
    <s v="Round 1"/>
    <s v="Financial skills"/>
    <s v="UNMAPPED"/>
  </r>
  <r>
    <s v="SUB-0142"/>
    <s v="SYN-0142"/>
    <s v="yes"/>
    <s v="1.0.0"/>
    <s v="ROUND_1"/>
    <d v="2025-08-23T00:00:00"/>
    <d v="2025-04-04T00:00:00"/>
    <s v="WEST"/>
    <s v="W03"/>
    <s v="ENUM_04"/>
    <s v="yes"/>
    <s v="45_54"/>
    <s v="woman"/>
    <n v="4"/>
    <s v="no"/>
    <x v="0"/>
    <d v="2025-08-16T00:00:00"/>
    <s v="leadership"/>
    <n v="5"/>
    <n v="4"/>
    <n v="5"/>
    <s v="no"/>
    <n v="3"/>
    <s v="yes"/>
    <s v="radio"/>
    <s v=""/>
    <n v="20.3"/>
    <x v="1"/>
    <s v="Round 1"/>
    <s v="Leadership"/>
    <s v="Radio"/>
  </r>
  <r>
    <s v="SUB-0148"/>
    <s v="SYN-0148"/>
    <s v="yes"/>
    <s v="1.0.0"/>
    <s v="ROUND_1"/>
    <d v="2025-08-29T00:00:00"/>
    <d v="2025-06-27T00:00:00"/>
    <s v="WEST"/>
    <s v="W03"/>
    <s v="ENUM_05"/>
    <s v="yes"/>
    <s v="18_24"/>
    <s v="woman"/>
    <n v="3"/>
    <s v="no"/>
    <x v="0"/>
    <d v="2025-08-16T00:00:00"/>
    <s v="planning"/>
    <n v="3"/>
    <n v="2"/>
    <n v="3"/>
    <s v="no"/>
    <n v="2"/>
    <s v="no"/>
    <s v=""/>
    <s v=""/>
    <n v="19.399999999999999"/>
    <x v="1"/>
    <s v="Round 1"/>
    <s v="Planning"/>
    <s v="UNMAPPED"/>
  </r>
  <r>
    <s v="SUB-0194"/>
    <s v="SYN-0194"/>
    <s v="yes"/>
    <s v="1.0.0"/>
    <s v="ROUND_1"/>
    <d v="2025-08-15T00:00:00"/>
    <d v="2025-04-28T00:00:00"/>
    <s v="SOUTH"/>
    <s v="S01"/>
    <s v="ENUM_02"/>
    <s v="yes"/>
    <s v="25_34"/>
    <s v="woman"/>
    <n v="6"/>
    <s v="yes"/>
    <x v="1"/>
    <m/>
    <s v=""/>
    <m/>
    <m/>
    <m/>
    <s v=""/>
    <n v="4"/>
    <s v="yes"/>
    <s v="printed_material"/>
    <s v=""/>
    <n v="20.5"/>
    <x v="4"/>
    <s v="Round 1"/>
    <s v="UNMAPPED"/>
    <s v="Printed material"/>
  </r>
  <r>
    <s v="SUB-0100"/>
    <s v="SYN-0100"/>
    <s v="yes"/>
    <s v="1.0.0"/>
    <s v="ROUND_2"/>
    <d v="2025-04-08T00:00:00"/>
    <d v="2024-11-14T00:00:00"/>
    <s v="WEST"/>
    <s v="W03"/>
    <s v="ENUM_07"/>
    <s v="yes"/>
    <s v="25_34"/>
    <s v="man"/>
    <n v="10"/>
    <s v="no"/>
    <x v="1"/>
    <m/>
    <s v=""/>
    <m/>
    <m/>
    <m/>
    <s v=""/>
    <n v="3"/>
    <s v="no"/>
    <s v=""/>
    <s v=""/>
    <n v="25.7"/>
    <x v="1"/>
    <s v="Round 2"/>
    <s v="UNMAPPED"/>
    <s v="UNMAPPED"/>
  </r>
  <r>
    <s v="SUB-0210"/>
    <s v="SYN-0210"/>
    <s v="yes"/>
    <s v="1.0.0"/>
    <s v="ROUND_2"/>
    <d v="2025-07-13T00:00:00"/>
    <d v="2025-06-10T00:00:00"/>
    <s v="NORTH"/>
    <s v="N01"/>
    <s v="ENUM_02"/>
    <s v="yes"/>
    <s v="35_44"/>
    <s v="woman"/>
    <n v="12"/>
    <s v="no"/>
    <x v="0"/>
    <d v="2025-06-22T00:00:00"/>
    <s v="digital_skills"/>
    <n v="4"/>
    <n v="1"/>
    <n v="2"/>
    <s v="yes"/>
    <n v="4"/>
    <s v="yes"/>
    <s v="community_meeting"/>
    <s v=""/>
    <n v="20"/>
    <x v="0"/>
    <s v="Round 2"/>
    <s v="Digital skills"/>
    <s v="Community meeting"/>
  </r>
  <r>
    <s v="SUB-0042"/>
    <s v="SYN-0042"/>
    <s v="yes"/>
    <s v="1.0.0"/>
    <s v=""/>
    <m/>
    <m/>
    <s v=""/>
    <s v=""/>
    <s v=""/>
    <s v="no"/>
    <s v=""/>
    <s v=""/>
    <m/>
    <s v=""/>
    <x v="2"/>
    <m/>
    <s v=""/>
    <m/>
    <m/>
    <m/>
    <s v=""/>
    <m/>
    <s v=""/>
    <s v=""/>
    <s v=""/>
    <m/>
    <x v="3"/>
    <s v="UNMAPPED"/>
    <s v="UNMAPPED"/>
    <s v="UNMAPPED"/>
  </r>
  <r>
    <s v="SUB-0281"/>
    <s v="SYN-0281"/>
    <s v="yes"/>
    <s v="1.0.0"/>
    <s v="ROUND_1"/>
    <d v="2025-04-23T00:00:00"/>
    <d v="2025-02-28T00:00:00"/>
    <s v="SOUTH"/>
    <s v="S01"/>
    <s v="ENUM_06"/>
    <s v="yes"/>
    <s v="35_44"/>
    <s v="man"/>
    <n v="6"/>
    <s v="no"/>
    <x v="0"/>
    <d v="2025-04-08T00:00:00"/>
    <s v="leadership"/>
    <n v="4"/>
    <n v="3"/>
    <n v="4"/>
    <s v="no"/>
    <n v="4"/>
    <s v="no"/>
    <s v=""/>
    <s v="The activity should start earlier so participants can travel home safely."/>
    <n v="10.5"/>
    <x v="4"/>
    <s v="Round 1"/>
    <s v="Leadership"/>
    <s v="UNMAPPED"/>
  </r>
  <r>
    <s v="SUB-0228"/>
    <s v="SYN-0228"/>
    <s v="yes"/>
    <s v="1.0.0"/>
    <s v="ROUND_1"/>
    <d v="2025-06-03T00:00:00"/>
    <d v="2025-02-22T00:00:00"/>
    <s v="NORTH"/>
    <s v="N02"/>
    <s v="ENUM_08"/>
    <s v="yes"/>
    <s v="18_24"/>
    <s v="man"/>
    <n v="4"/>
    <s v="yes"/>
    <x v="0"/>
    <d v="2025-04-21T00:00:00"/>
    <s v="financial_skills"/>
    <n v="5"/>
    <n v="2"/>
    <n v="4"/>
    <s v="yes"/>
    <n v="3"/>
    <s v="no"/>
    <s v=""/>
    <s v=""/>
    <n v="12.7"/>
    <x v="0"/>
    <s v="Round 1"/>
    <s v="Financial skills"/>
    <s v="UNMAPPED"/>
  </r>
  <r>
    <s v="SUB-0223"/>
    <s v="SYN-0223"/>
    <s v="yes"/>
    <s v="1.0.0"/>
    <s v="ROUND_2"/>
    <d v="2025-05-21T00:00:00"/>
    <d v="2025-04-05T00:00:00"/>
    <s v="WEST"/>
    <s v="W02"/>
    <s v="ENUM_01"/>
    <s v="yes"/>
    <s v="18_24"/>
    <s v="man"/>
    <n v="4"/>
    <s v="no"/>
    <x v="0"/>
    <d v="2025-05-16T00:00:00"/>
    <s v="financial_skills"/>
    <n v="4"/>
    <n v="1"/>
    <n v="1"/>
    <s v="yes"/>
    <n v="4"/>
    <s v="no"/>
    <s v=""/>
    <s v=""/>
    <n v="10.9"/>
    <x v="1"/>
    <s v="Round 2"/>
    <s v="Financial skills"/>
    <s v="UNMAPPED"/>
  </r>
  <r>
    <s v="SUB-0120"/>
    <s v="SYN-0120"/>
    <s v="yes"/>
    <s v="1.0.0"/>
    <s v="ROUND_2"/>
    <d v="2025-05-03T00:00:00"/>
    <d v="2024-12-25T00:00:00"/>
    <s v="EAST"/>
    <s v="E01"/>
    <s v="ENUM_04"/>
    <s v="yes"/>
    <s v="25_34"/>
    <s v="woman"/>
    <n v="1"/>
    <s v="no"/>
    <x v="0"/>
    <d v="2025-03-23T00:00:00"/>
    <s v="leadership"/>
    <n v="4"/>
    <n v="2"/>
    <n v="3"/>
    <s v="no"/>
    <n v="3"/>
    <s v="yes"/>
    <s v="community_meeting"/>
    <s v=""/>
    <n v="26.4"/>
    <x v="2"/>
    <s v="Round 2"/>
    <s v="Leadership"/>
    <s v="Community meeting"/>
  </r>
  <r>
    <s v="SUB-0209"/>
    <s v="SYN-0209"/>
    <s v="yes"/>
    <s v="1.0.0"/>
    <s v="ROUND_1"/>
    <d v="2025-05-17T00:00:00"/>
    <d v="2025-02-06T00:00:00"/>
    <s v="EAST"/>
    <s v="E01"/>
    <s v="ENUM_01"/>
    <s v="yes"/>
    <s v="35_44"/>
    <s v="man"/>
    <n v="5"/>
    <s v="yes"/>
    <x v="0"/>
    <d v="2025-02-06T00:00:00"/>
    <s v="planning"/>
    <n v="4"/>
    <n v="2"/>
    <n v="2"/>
    <s v="yes"/>
    <n v="4"/>
    <s v="yes"/>
    <s v="community_meeting"/>
    <s v=""/>
    <n v="24"/>
    <x v="2"/>
    <s v="Round 1"/>
    <s v="Planning"/>
    <s v="Community meeting"/>
  </r>
  <r>
    <s v="SUB-0191"/>
    <s v="SYN-0191"/>
    <s v="yes"/>
    <s v="1.0.0"/>
    <s v="ROUND_1"/>
    <d v="2025-07-02T00:00:00"/>
    <d v="2025-05-01T00:00:00"/>
    <s v="WEST"/>
    <s v="W01"/>
    <s v="ENUM_04"/>
    <s v="yes"/>
    <s v="25_34"/>
    <s v="man"/>
    <n v="7"/>
    <s v="no"/>
    <x v="0"/>
    <d v="2025-05-05T00:00:00"/>
    <s v="financial_skills"/>
    <n v="1"/>
    <n v="2"/>
    <n v="3"/>
    <s v="yes"/>
    <n v="2"/>
    <s v="no"/>
    <s v=""/>
    <s v=""/>
    <n v="17.5"/>
    <x v="1"/>
    <s v="Round 1"/>
    <s v="Financial skills"/>
    <s v="UNMAPPED"/>
  </r>
  <r>
    <s v="SUB-0163"/>
    <s v="SYN-0163"/>
    <s v="yes"/>
    <s v="1.0.0"/>
    <s v="ROUND_2"/>
    <d v="2025-09-14T00:00:00"/>
    <d v="2025-05-09T00:00:00"/>
    <s v="SOUTH"/>
    <s v="S03"/>
    <s v="ENUM_01"/>
    <s v="yes"/>
    <s v="55_plus"/>
    <s v="woman"/>
    <n v="6"/>
    <s v="no"/>
    <x v="0"/>
    <d v="2025-09-08T00:00:00"/>
    <s v="planning"/>
    <n v="4"/>
    <n v="4"/>
    <n v="5"/>
    <s v="no"/>
    <n v="4"/>
    <s v="no"/>
    <s v=""/>
    <s v=""/>
    <n v="17.899999999999999"/>
    <x v="4"/>
    <s v="Round 2"/>
    <s v="Planning"/>
    <s v="UNMAPPED"/>
  </r>
  <r>
    <s v="SUB-0317"/>
    <s v="SYN-0317"/>
    <s v="yes"/>
    <s v="1.0.0"/>
    <s v="ROUND_1"/>
    <d v="2025-07-11T00:00:00"/>
    <d v="2025-05-10T00:00:00"/>
    <s v="EAST"/>
    <s v="E03"/>
    <s v="ENUM_08"/>
    <s v="yes"/>
    <s v="25_34"/>
    <s v="woman"/>
    <n v="0"/>
    <s v="no"/>
    <x v="0"/>
    <d v="2025-05-31T00:00:00"/>
    <s v="planning"/>
    <n v="4"/>
    <n v="4"/>
    <n v="5"/>
    <s v="yes"/>
    <n v="3"/>
    <s v="no"/>
    <s v=""/>
    <s v=""/>
    <n v="18.100000000000001"/>
    <x v="2"/>
    <s v="Round 1"/>
    <s v="Planning"/>
    <s v="UNMAPPED"/>
  </r>
  <r>
    <s v="SUB-0247"/>
    <s v="SYN-0247"/>
    <s v="yes"/>
    <s v="1.0.0"/>
    <s v="ROUND_1"/>
    <d v="2025-05-15T00:00:00"/>
    <d v="2025-01-11T00:00:00"/>
    <s v="SOUTH"/>
    <s v="S01"/>
    <s v="ENUM_03"/>
    <s v="yes"/>
    <s v="55_plus"/>
    <s v="woman"/>
    <n v="5"/>
    <s v="no"/>
    <x v="0"/>
    <d v="2025-02-28T00:00:00"/>
    <s v="planning"/>
    <n v="5"/>
    <n v="2"/>
    <n v="3"/>
    <s v="yes"/>
    <n v="4"/>
    <s v="no"/>
    <s v=""/>
    <s v="The group activities helped me learn from other participants."/>
    <n v="19.100000000000001"/>
    <x v="4"/>
    <s v="Round 1"/>
    <s v="Planning"/>
    <s v="UNMAPPED"/>
  </r>
  <r>
    <s v="SUB-0295"/>
    <s v="SYN-0295"/>
    <s v="yes"/>
    <s v="1.0.0"/>
    <s v="ROUND_2"/>
    <d v="2025-05-12T00:00:00"/>
    <d v="2025-02-26T00:00:00"/>
    <s v="WEST"/>
    <s v="W01"/>
    <s v="ENUM_07"/>
    <s v="yes"/>
    <s v="25_34"/>
    <s v="woman"/>
    <n v="5"/>
    <s v="no"/>
    <x v="0"/>
    <d v="2025-03-22T00:00:00"/>
    <s v="leadership"/>
    <n v="5"/>
    <n v="1"/>
    <n v="1"/>
    <s v="no"/>
    <n v="3"/>
    <s v="yes"/>
    <s v="radio"/>
    <s v=""/>
    <n v="25"/>
    <x v="1"/>
    <s v="Round 2"/>
    <s v="Leadership"/>
    <s v="Radio"/>
  </r>
  <r>
    <s v="SUB-0282"/>
    <s v="SYN-0282"/>
    <s v="yes"/>
    <s v="1.0.0"/>
    <s v="ROUND_1"/>
    <d v="2025-06-14T00:00:00"/>
    <d v="2025-01-20T00:00:00"/>
    <s v="WEST"/>
    <s v="W03"/>
    <s v="ENUM_07"/>
    <s v="yes"/>
    <s v="18_24"/>
    <s v="woman"/>
    <n v="2"/>
    <s v="no"/>
    <x v="0"/>
    <d v="2025-02-23T00:00:00"/>
    <s v="digital_skills"/>
    <n v="4"/>
    <n v="3"/>
    <n v="5"/>
    <s v="yes"/>
    <n v="3"/>
    <s v="no"/>
    <s v=""/>
    <s v="I have already used one of the planning tools from the session."/>
    <n v="23.3"/>
    <x v="1"/>
    <s v="Round 1"/>
    <s v="Digital skills"/>
    <s v="UNMAPPED"/>
  </r>
  <r>
    <s v="SUB-0019"/>
    <s v="SYN-0019"/>
    <s v="yes"/>
    <s v="1.0.0"/>
    <s v="ROUND_1"/>
    <d v="2025-06-25T00:00:00"/>
    <d v="2025-02-21T00:00:00"/>
    <s v="SOUTH"/>
    <s v="S03"/>
    <s v="ENUM_05"/>
    <s v="yes"/>
    <s v="45_54"/>
    <s v="woman"/>
    <n v="6"/>
    <s v="no"/>
    <x v="0"/>
    <d v="2025-06-01T00:00:00"/>
    <s v="financial_skills"/>
    <n v="4"/>
    <n v="2"/>
    <n v="3"/>
    <s v="no"/>
    <n v="5"/>
    <s v="no"/>
    <s v=""/>
    <s v=""/>
    <n v="30.1"/>
    <x v="4"/>
    <s v="Round 1"/>
    <s v="Financial skills"/>
    <s v="UNMAPPED"/>
  </r>
  <r>
    <s v="SUB-0196"/>
    <s v="SYN-0196"/>
    <s v="yes"/>
    <s v="1.0.0"/>
    <s v="ROUND_2"/>
    <d v="2025-07-16T00:00:00"/>
    <d v="2025-05-31T00:00:00"/>
    <s v="EAST"/>
    <s v="E02"/>
    <s v="ENUM_07"/>
    <s v="yes"/>
    <s v="55_plus"/>
    <s v="woman"/>
    <n v="6"/>
    <s v="no"/>
    <x v="0"/>
    <d v="2025-06-25T00:00:00"/>
    <s v="leadership"/>
    <n v="5"/>
    <n v="1"/>
    <n v="1"/>
    <s v="yes"/>
    <n v="4"/>
    <s v="no"/>
    <s v=""/>
    <s v=""/>
    <n v="18.899999999999999"/>
    <x v="2"/>
    <s v="Round 2"/>
    <s v="Leadership"/>
    <s v="UNMAPPED"/>
  </r>
  <r>
    <s v="SUB-0257"/>
    <s v="SYN-0257"/>
    <s v="yes"/>
    <s v="1.0.0"/>
    <s v="ROUND_2"/>
    <d v="2025-07-29T00:00:00"/>
    <d v="2025-03-23T00:00:00"/>
    <s v="EAST"/>
    <s v="E03"/>
    <s v="ENUM_04"/>
    <s v="yes"/>
    <s v="45_54"/>
    <s v="man"/>
    <n v="5"/>
    <s v="no"/>
    <x v="0"/>
    <d v="2025-04-08T00:00:00"/>
    <s v="digital_skills"/>
    <n v="5"/>
    <n v="1"/>
    <n v="3"/>
    <s v="yes"/>
    <n v="2"/>
    <s v="no"/>
    <s v=""/>
    <s v=""/>
    <n v="16.100000000000001"/>
    <x v="2"/>
    <s v="Round 2"/>
    <s v="Digital skills"/>
    <s v="UNMAPPED"/>
  </r>
  <r>
    <s v="SUB-0366"/>
    <s v="SYN-0366"/>
    <s v="yes"/>
    <s v="1.0.0"/>
    <s v="ROUND_2"/>
    <d v="2025-05-29T00:00:00"/>
    <d v="2025-03-10T00:00:00"/>
    <s v="NORTH"/>
    <s v="N03"/>
    <s v="ENUM_08"/>
    <s v="yes"/>
    <s v="35_44"/>
    <s v="man"/>
    <n v="3"/>
    <s v="no"/>
    <x v="0"/>
    <d v="2025-03-24T00:00:00"/>
    <s v="planning"/>
    <n v="5"/>
    <n v="1"/>
    <n v="2"/>
    <s v="yes"/>
    <n v="4"/>
    <s v="no"/>
    <s v=""/>
    <s v=""/>
    <n v="15.5"/>
    <x v="0"/>
    <s v="Round 2"/>
    <s v="Planning"/>
    <s v="UNMAPPED"/>
  </r>
  <r>
    <s v="SUB-0050"/>
    <s v="SYN-0050"/>
    <s v="yes"/>
    <s v="1.0.0"/>
    <s v="ROUND_2"/>
    <d v="2025-06-26T00:00:00"/>
    <d v="2025-04-04T00:00:00"/>
    <s v="WEST"/>
    <s v="W03"/>
    <s v="ENUM_02"/>
    <s v="yes"/>
    <s v="45_54"/>
    <s v="man"/>
    <n v="6"/>
    <s v="no"/>
    <x v="0"/>
    <d v="2025-05-24T00:00:00"/>
    <s v="planning"/>
    <n v="5"/>
    <n v="1"/>
    <n v="3"/>
    <s v="yes"/>
    <n v="3"/>
    <s v="no"/>
    <s v=""/>
    <s v=""/>
    <n v="20.100000000000001"/>
    <x v="1"/>
    <s v="Round 2"/>
    <s v="Planning"/>
    <s v="UNMAPPED"/>
  </r>
  <r>
    <s v="SUB-0160"/>
    <s v="SYN-0160"/>
    <s v="yes"/>
    <s v="1.0.0"/>
    <s v="ROUND_1"/>
    <d v="2025-05-08T00:00:00"/>
    <d v="2025-01-22T00:00:00"/>
    <s v="SOUTH"/>
    <s v="S02"/>
    <s v="ENUM_02"/>
    <s v="yes"/>
    <s v="45_54"/>
    <s v="woman"/>
    <n v="5"/>
    <s v="no"/>
    <x v="0"/>
    <d v="2025-03-11T00:00:00"/>
    <s v="planning"/>
    <n v="5"/>
    <n v="3"/>
    <n v="3"/>
    <s v="yes"/>
    <n v="4"/>
    <s v="no"/>
    <s v=""/>
    <s v=""/>
    <n v="11.5"/>
    <x v="4"/>
    <s v="Round 1"/>
    <s v="Planning"/>
    <s v="UNMAPPED"/>
  </r>
  <r>
    <s v="SUB-0038"/>
    <s v="SYN-0038"/>
    <s v="yes"/>
    <s v="1.0.0"/>
    <s v="ROUND_2"/>
    <d v="2025-06-20T00:00:00"/>
    <d v="2025-04-06T00:00:00"/>
    <s v="WEST"/>
    <s v="W02"/>
    <s v="ENUM_06"/>
    <s v="yes"/>
    <s v="35_44"/>
    <s v="woman"/>
    <n v="4"/>
    <s v="no"/>
    <x v="0"/>
    <d v="2025-04-20T00:00:00"/>
    <s v="financial_skills"/>
    <n v="4"/>
    <n v="2"/>
    <n v="3"/>
    <s v="no"/>
    <n v="2"/>
    <s v="no"/>
    <s v=""/>
    <s v=""/>
    <n v="19"/>
    <x v="1"/>
    <s v="Round 2"/>
    <s v="Financial skills"/>
    <s v="UNMAPPED"/>
  </r>
  <r>
    <s v="SUB-0327"/>
    <s v="SYN-0327"/>
    <s v="yes"/>
    <s v="1.0.0"/>
    <s v="ROUND_2"/>
    <d v="2025-06-08T00:00:00"/>
    <d v="2025-04-08T00:00:00"/>
    <s v="EAST"/>
    <s v="E01"/>
    <s v="ENUM_06"/>
    <s v="yes"/>
    <s v="45_54"/>
    <s v="woman"/>
    <n v="5"/>
    <s v="no"/>
    <x v="0"/>
    <d v="2025-06-06T00:00:00"/>
    <s v="leadership"/>
    <n v="5"/>
    <n v="2"/>
    <n v="2"/>
    <s v="yes"/>
    <n v="4"/>
    <s v="yes"/>
    <s v="community_meeting"/>
    <s v=""/>
    <n v="20.399999999999999"/>
    <x v="2"/>
    <s v="Round 2"/>
    <s v="Leadership"/>
    <s v="Community meeting"/>
  </r>
  <r>
    <s v="SUB-0339"/>
    <s v="SYN-0339"/>
    <s v="yes"/>
    <s v="1.0.0"/>
    <s v="ROUND_1"/>
    <d v="2025-04-04T00:00:00"/>
    <d v="2024-11-24T00:00:00"/>
    <s v="WEST"/>
    <s v="W03"/>
    <s v="ENUM_03"/>
    <s v="yes"/>
    <s v="25_34"/>
    <s v="woman"/>
    <n v="12"/>
    <s v="no"/>
    <x v="0"/>
    <d v="2025-01-03T00:00:00"/>
    <s v="planning"/>
    <n v="3"/>
    <n v="2"/>
    <n v="3"/>
    <s v="yes"/>
    <n v="5"/>
    <s v="no"/>
    <s v=""/>
    <s v=""/>
    <n v="8.1999999999999993"/>
    <x v="1"/>
    <s v="Round 1"/>
    <s v="Planning"/>
    <s v="UNMAPPED"/>
  </r>
  <r>
    <s v="SUB-0277"/>
    <s v="SYN-0277"/>
    <s v="yes"/>
    <s v="1.0.0"/>
    <s v="ROUND_1"/>
    <d v="2025-06-23T00:00:00"/>
    <d v="2025-02-24T00:00:00"/>
    <s v="NORTH"/>
    <s v="N02"/>
    <s v="ENUM_02"/>
    <s v="yes"/>
    <s v="35_44"/>
    <s v="man"/>
    <n v="1"/>
    <s v="no"/>
    <x v="0"/>
    <d v="2025-05-31T00:00:00"/>
    <s v="digital_skills"/>
    <n v="1"/>
    <n v="1"/>
    <n v="2"/>
    <s v="no"/>
    <n v="4"/>
    <s v="no"/>
    <s v=""/>
    <s v=""/>
    <n v="21"/>
    <x v="0"/>
    <s v="Round 1"/>
    <s v="Digital skills"/>
    <s v="UNMAPPED"/>
  </r>
  <r>
    <s v="SUB-0328"/>
    <s v="SYN-0328"/>
    <s v="yes"/>
    <s v="1.0.0"/>
    <s v="ROUND_2"/>
    <d v="2025-04-26T00:00:00"/>
    <d v="2024-12-14T00:00:00"/>
    <s v="NORTH"/>
    <s v="N01"/>
    <s v="ENUM_03"/>
    <s v="yes"/>
    <s v="18_24"/>
    <s v="man"/>
    <n v="4"/>
    <s v="yes"/>
    <x v="0"/>
    <d v="2025-04-04T00:00:00"/>
    <s v="leadership"/>
    <n v="5"/>
    <n v="2"/>
    <n v="3"/>
    <s v="yes"/>
    <n v="4"/>
    <s v="yes"/>
    <s v="printed_material"/>
    <s v=""/>
    <n v="23.7"/>
    <x v="0"/>
    <s v="Round 2"/>
    <s v="Leadership"/>
    <s v="Printed material"/>
  </r>
  <r>
    <s v="SUB-0278"/>
    <s v="SYN-0278"/>
    <s v="yes"/>
    <s v="1.0.0"/>
    <s v="ROUND_2"/>
    <d v="2025-04-26T00:00:00"/>
    <d v="2025-01-09T00:00:00"/>
    <s v="SOUTH"/>
    <s v="S03"/>
    <s v="ENUM_06"/>
    <s v="yes"/>
    <s v="18_24"/>
    <s v="woman"/>
    <n v="5"/>
    <s v="yes"/>
    <x v="0"/>
    <d v="2025-02-17T00:00:00"/>
    <s v="financial_skills"/>
    <n v="4"/>
    <n v="3"/>
    <n v="5"/>
    <s v="yes"/>
    <n v="4"/>
    <s v="yes"/>
    <s v="printed_material"/>
    <s v=""/>
    <n v="11.1"/>
    <x v="4"/>
    <s v="Round 2"/>
    <s v="Financial skills"/>
    <s v="Printed material"/>
  </r>
  <r>
    <s v="SUB-0168"/>
    <s v="SYN-0168"/>
    <s v="yes"/>
    <s v="1.0.0"/>
    <s v="ROUND_1"/>
    <d v="2025-06-22T00:00:00"/>
    <d v="2025-02-04T00:00:00"/>
    <s v="NORTH"/>
    <s v="N03"/>
    <s v="ENUM_02"/>
    <s v="yes"/>
    <s v="45_54"/>
    <s v="woman"/>
    <n v="5"/>
    <s v="no"/>
    <x v="1"/>
    <m/>
    <s v=""/>
    <m/>
    <m/>
    <m/>
    <s v=""/>
    <n v="4"/>
    <s v="no"/>
    <s v=""/>
    <s v=""/>
    <n v="23.8"/>
    <x v="0"/>
    <s v="Round 1"/>
    <s v="UNMAPPED"/>
    <s v="UNMAPPED"/>
  </r>
  <r>
    <s v="SUB-0002"/>
    <s v="SYN-0002"/>
    <s v="yes"/>
    <s v="1.0.0"/>
    <s v="ROUND_1"/>
    <d v="2025-07-19T00:00:00"/>
    <d v="2025-04-19T00:00:00"/>
    <s v="WEST"/>
    <s v="W01"/>
    <s v="ENUM_03"/>
    <s v="yes"/>
    <s v="18_24"/>
    <s v="man"/>
    <n v="6"/>
    <s v="no"/>
    <x v="1"/>
    <m/>
    <s v=""/>
    <m/>
    <m/>
    <m/>
    <s v=""/>
    <n v="3"/>
    <s v="no"/>
    <s v=""/>
    <s v=""/>
    <n v="8.3000000000000007"/>
    <x v="1"/>
    <s v="Round 1"/>
    <s v="UNMAPPED"/>
    <s v="UNMAPPED"/>
  </r>
  <r>
    <s v="SUB-0274"/>
    <s v="SYN-0274"/>
    <s v="yes"/>
    <s v="1.0.0"/>
    <s v="ROUND_1"/>
    <d v="2025-09-20T00:00:00"/>
    <d v="2025-08-21T00:00:00"/>
    <s v="EAST"/>
    <s v="E02"/>
    <s v="ENUM_04"/>
    <s v="yes"/>
    <s v="45_54"/>
    <s v="woman"/>
    <n v="2"/>
    <s v="no"/>
    <x v="1"/>
    <m/>
    <s v=""/>
    <m/>
    <m/>
    <m/>
    <s v=""/>
    <n v="4"/>
    <s v="no"/>
    <s v=""/>
    <s v=""/>
    <n v="6.5"/>
    <x v="2"/>
    <s v="Round 1"/>
    <s v="UNMAPPED"/>
    <s v="UNMAPPED"/>
  </r>
  <r>
    <s v="SUB-0178"/>
    <s v="SYN-0178"/>
    <s v="yes"/>
    <s v="1.0.0"/>
    <s v="ROUND_1"/>
    <d v="2025-08-22T00:00:00"/>
    <d v="2025-06-15T00:00:00"/>
    <s v="WEST"/>
    <s v="W01"/>
    <s v="ENUM_06"/>
    <s v="yes"/>
    <s v="35_44"/>
    <s v="man"/>
    <n v="7"/>
    <s v="no"/>
    <x v="1"/>
    <d v="2025-08-22T00:00:00"/>
    <s v="digital_skills"/>
    <n v="4"/>
    <n v="2"/>
    <n v="4"/>
    <s v="yes"/>
    <n v="5"/>
    <s v="no"/>
    <s v=""/>
    <s v="A follow-up session on digital tools would be helpful."/>
    <n v="10.8"/>
    <x v="1"/>
    <s v="Round 1"/>
    <s v="Digital skills"/>
    <s v="UNMAPPED"/>
  </r>
  <r>
    <s v="SUB-0375"/>
    <s v="SYN-0375"/>
    <s v="yes"/>
    <s v="1.0.0"/>
    <s v="ROUND_2"/>
    <d v="2025-09-02T00:00:00"/>
    <d v="2025-05-05T00:00:00"/>
    <s v="WEST"/>
    <s v="W01"/>
    <s v="ENUM_04"/>
    <s v="yes"/>
    <s v="45_54"/>
    <s v="man"/>
    <n v="10"/>
    <s v="no"/>
    <x v="0"/>
    <d v="2025-06-25T00:00:00"/>
    <s v="financial_skills"/>
    <n v="2"/>
    <n v="4"/>
    <n v="5"/>
    <s v="no"/>
    <n v="4"/>
    <s v="yes"/>
    <s v="printed_material"/>
    <s v=""/>
    <n v="12.3"/>
    <x v="1"/>
    <s v="Round 2"/>
    <s v="Financial skills"/>
    <s v="Printed material"/>
  </r>
  <r>
    <s v="SUB-0235"/>
    <s v="SYN-0235"/>
    <s v="yes"/>
    <s v="1.0.0"/>
    <s v="ROUND_2"/>
    <d v="2025-09-04T00:00:00"/>
    <d v="2025-08-01T00:00:00"/>
    <s v="WEST"/>
    <s v="W01"/>
    <s v="ENUM_07"/>
    <s v="yes"/>
    <s v="35_44"/>
    <s v="woman"/>
    <n v="3"/>
    <s v="no"/>
    <x v="0"/>
    <d v="2025-08-12T00:00:00"/>
    <s v="digital_skills"/>
    <n v="4"/>
    <n v="3"/>
    <n v="4"/>
    <s v="yes"/>
    <n v="5"/>
    <s v="no"/>
    <s v=""/>
    <s v=""/>
    <n v="16.100000000000001"/>
    <x v="1"/>
    <s v="Round 2"/>
    <s v="Digital skills"/>
    <s v="UNMAPPED"/>
  </r>
  <r>
    <s v="SUB-0008"/>
    <s v="SYN-0008"/>
    <s v="yes"/>
    <s v="1.0.0"/>
    <s v="ROUND_2"/>
    <d v="2025-04-16T00:00:00"/>
    <d v="2025-02-14T00:00:00"/>
    <s v="NORTH"/>
    <s v="N03"/>
    <s v="ENUM_07"/>
    <s v="yes"/>
    <s v="18_24"/>
    <s v="woman"/>
    <n v="5"/>
    <s v="no"/>
    <x v="1"/>
    <m/>
    <s v=""/>
    <m/>
    <m/>
    <m/>
    <s v=""/>
    <n v="4"/>
    <s v="no"/>
    <s v=""/>
    <s v=""/>
    <n v="13.8"/>
    <x v="0"/>
    <s v="Round 2"/>
    <s v="UNMAPPED"/>
    <s v="UNMAPPED"/>
  </r>
  <r>
    <s v="SUB-0250"/>
    <s v="SYN-0250"/>
    <s v="yes"/>
    <s v="1.0.0"/>
    <s v="ROUND_2"/>
    <d v="2025-09-21T00:00:00"/>
    <d v="2025-04-25T00:00:00"/>
    <s v="SOUTH"/>
    <s v="S03"/>
    <s v="ENUM_06"/>
    <s v="yes"/>
    <s v="35_44"/>
    <s v="woman"/>
    <n v="2"/>
    <s v="no"/>
    <x v="0"/>
    <d v="2025-08-11T00:00:00"/>
    <s v="financial_skills"/>
    <n v="4"/>
    <n v="3"/>
    <n v="5"/>
    <s v="no"/>
    <n v="5"/>
    <s v="no"/>
    <s v=""/>
    <s v=""/>
    <n v="12.3"/>
    <x v="4"/>
    <s v="Round 2"/>
    <s v="Financial skills"/>
    <s v="UNMAPPED"/>
  </r>
  <r>
    <s v="SUB-0085"/>
    <s v="SYN-0085"/>
    <s v="yes"/>
    <s v="1.0.0"/>
    <s v="ROUND_2"/>
    <d v="2025-09-14T00:00:00"/>
    <d v="2025-05-18T00:00:00"/>
    <s v="SOUTH"/>
    <s v="S02"/>
    <s v="ENUM_07"/>
    <s v="yes"/>
    <s v="35_44"/>
    <s v="man"/>
    <n v="4"/>
    <s v="no"/>
    <x v="0"/>
    <d v="2025-06-08T00:00:00"/>
    <s v="planning"/>
    <n v="2"/>
    <n v="4"/>
    <n v="5"/>
    <s v="yes"/>
    <n v="5"/>
    <s v="no"/>
    <s v=""/>
    <s v=""/>
    <n v="19.100000000000001"/>
    <x v="4"/>
    <s v="Round 2"/>
    <s v="Planning"/>
    <s v="UNMAPPED"/>
  </r>
  <r>
    <s v="SUB-0135"/>
    <s v="SYN-0135"/>
    <s v="yes"/>
    <s v="1.0.0"/>
    <s v="ROUND_2"/>
    <d v="2025-04-22T00:00:00"/>
    <d v="2025-01-30T00:00:00"/>
    <s v="WEST"/>
    <s v="W01"/>
    <s v="ENUM_08"/>
    <s v="yes"/>
    <s v="18_24"/>
    <s v="woman"/>
    <n v="4"/>
    <s v="yes"/>
    <x v="1"/>
    <d v="2025-04-22T00:00:00"/>
    <s v="digital_skills"/>
    <n v="4"/>
    <n v="2"/>
    <n v="4"/>
    <s v="yes"/>
    <n v="4"/>
    <s v="no"/>
    <s v=""/>
    <s v=""/>
    <n v="10"/>
    <x v="1"/>
    <s v="Round 2"/>
    <s v="Digital skills"/>
    <s v="UNMAPPED"/>
  </r>
  <r>
    <s v="SUB-0272"/>
    <s v="SYN-0272"/>
    <s v="yes"/>
    <s v="1.0.0"/>
    <s v="ROUND_1"/>
    <d v="2025-08-19T00:00:00"/>
    <d v="2025-05-09T00:00:00"/>
    <s v="SOUTH"/>
    <s v="S03"/>
    <s v="ENUM_07"/>
    <s v="yes"/>
    <s v="18_24"/>
    <s v="man"/>
    <n v="3"/>
    <s v="no"/>
    <x v="0"/>
    <d v="2025-05-19T00:00:00"/>
    <s v="digital_skills"/>
    <n v="4"/>
    <n v="2"/>
    <n v="2"/>
    <s v="yes"/>
    <n v="3"/>
    <s v="yes"/>
    <s v="community_meeting"/>
    <s v=""/>
    <n v="10.6"/>
    <x v="4"/>
    <s v="Round 1"/>
    <s v="Digital skills"/>
    <s v="Community meeting"/>
  </r>
  <r>
    <s v="SUB-0073"/>
    <s v="SYN-0073"/>
    <s v="yes"/>
    <s v="1.0.0"/>
    <s v="ROUND_1"/>
    <d v="2025-08-29T00:00:00"/>
    <d v="2025-09-12T00:00:00"/>
    <s v="EAST"/>
    <s v="E03"/>
    <s v="ENUM_04"/>
    <s v="yes"/>
    <s v="18_24"/>
    <s v="woman"/>
    <n v="5"/>
    <s v="no"/>
    <x v="0"/>
    <d v="2025-05-28T00:00:00"/>
    <s v="financial_skills"/>
    <n v="3"/>
    <n v="4"/>
    <n v="4"/>
    <s v="yes"/>
    <n v="5"/>
    <s v="yes"/>
    <s v="radio"/>
    <s v=""/>
    <n v="17.5"/>
    <x v="2"/>
    <s v="Round 1"/>
    <s v="Financial skills"/>
    <s v="Radio"/>
  </r>
  <r>
    <s v="SUB-0144"/>
    <s v="SYN-0144"/>
    <s v="yes"/>
    <s v="1.0.0"/>
    <s v="ROUND_2"/>
    <d v="2025-06-07T00:00:00"/>
    <d v="2025-03-13T00:00:00"/>
    <s v="WEST"/>
    <s v=""/>
    <s v="ENUM_07"/>
    <s v="yes"/>
    <s v="35_44"/>
    <s v="woman"/>
    <n v="6"/>
    <s v="no"/>
    <x v="0"/>
    <d v="2025-03-21T00:00:00"/>
    <s v="financial_skills"/>
    <n v="3"/>
    <n v="2"/>
    <n v="3"/>
    <s v="yes"/>
    <n v="3"/>
    <s v="no"/>
    <s v=""/>
    <s v=""/>
    <n v="4"/>
    <x v="1"/>
    <s v="Round 2"/>
    <s v="Financial skills"/>
    <s v="UNMAPPED"/>
  </r>
  <r>
    <s v="SUB-0103"/>
    <s v="SYN-0103"/>
    <s v="yes"/>
    <s v="1.0.0"/>
    <s v="ROUND_1"/>
    <d v="2025-05-04T00:00:00"/>
    <d v="2024-12-06T00:00:00"/>
    <s v="NORTH"/>
    <s v="N03"/>
    <s v="ENUM_06"/>
    <s v="yes"/>
    <s v="25_34"/>
    <s v="man"/>
    <n v="8"/>
    <s v="yes"/>
    <x v="0"/>
    <d v="2024-12-11T00:00:00"/>
    <s v="leadership"/>
    <n v="4"/>
    <n v="3"/>
    <n v="3"/>
    <s v="yes"/>
    <n v="2"/>
    <s v="no"/>
    <s v=""/>
    <s v=""/>
    <n v="27.4"/>
    <x v="0"/>
    <s v="Round 1"/>
    <s v="Leadership"/>
    <s v="UNMAPPED"/>
  </r>
  <r>
    <s v="SUB-0017"/>
    <s v="SYN-0017"/>
    <s v="yes"/>
    <s v="1.0.0"/>
    <s v="ROUND_2"/>
    <d v="2025-09-15T00:00:00"/>
    <d v="2025-04-21T00:00:00"/>
    <s v="EAST"/>
    <s v="E02"/>
    <s v="ENUM_07"/>
    <s v="yes"/>
    <s v="55_plus"/>
    <s v="woman"/>
    <n v="6"/>
    <s v="no"/>
    <x v="0"/>
    <d v="2025-08-26T00:00:00"/>
    <s v="financial_skills"/>
    <n v="1"/>
    <n v="1"/>
    <n v="2"/>
    <s v="no"/>
    <n v="3"/>
    <s v="no"/>
    <s v=""/>
    <s v=""/>
    <n v="21.2"/>
    <x v="2"/>
    <s v="Round 2"/>
    <s v="Financial skills"/>
    <s v="UNMAPPED"/>
  </r>
  <r>
    <s v="SUB-0094"/>
    <s v="SYN-0094"/>
    <s v="yes"/>
    <s v="1.0.0"/>
    <s v="ROUND_1"/>
    <d v="2025-08-31T00:00:00"/>
    <d v="2025-05-10T00:00:00"/>
    <s v="SOUTH"/>
    <s v="S03"/>
    <s v="ENUM_01"/>
    <s v="yes"/>
    <s v="45_54"/>
    <s v="man"/>
    <n v="6"/>
    <s v="no"/>
    <x v="0"/>
    <d v="2025-07-20T00:00:00"/>
    <s v="leadership"/>
    <n v="5"/>
    <n v="3"/>
    <n v="5"/>
    <s v="no"/>
    <n v="3"/>
    <s v="yes"/>
    <s v="community_meeting"/>
    <s v="A location closer to the community would improve attendance."/>
    <n v="16.7"/>
    <x v="4"/>
    <s v="Round 1"/>
    <s v="Leadership"/>
    <s v="Community meeting"/>
  </r>
  <r>
    <s v="SUB-0062"/>
    <s v="SYN-0062"/>
    <s v="yes"/>
    <s v="1.0.0"/>
    <s v="ROUND_1"/>
    <d v="2025-08-22T00:00:00"/>
    <d v="2025-07-22T00:00:00"/>
    <s v="SOUTH"/>
    <s v="S03"/>
    <s v="ENUM_02"/>
    <s v="yes"/>
    <s v="45_54"/>
    <s v="man"/>
    <n v="5"/>
    <s v="yes"/>
    <x v="0"/>
    <d v="2025-07-30T00:00:00"/>
    <s v="planning"/>
    <n v="3"/>
    <n v="3"/>
    <n v="4"/>
    <s v="no"/>
    <n v="4"/>
    <s v="yes"/>
    <s v="community_meeting"/>
    <s v=""/>
    <n v="27.9"/>
    <x v="4"/>
    <s v="Round 1"/>
    <s v="Planning"/>
    <s v="Community meeting"/>
  </r>
  <r>
    <s v="SUB-0182"/>
    <s v="SYN-0182"/>
    <s v="yes"/>
    <s v="1.0.0"/>
    <s v="ROUND_1"/>
    <d v="2025-05-14T00:00:00"/>
    <d v="2025-04-10T00:00:00"/>
    <s v="NORTH"/>
    <s v="N02"/>
    <s v="ENUM_05"/>
    <s v="yes"/>
    <s v="55_plus"/>
    <s v="non_binary"/>
    <n v="4"/>
    <s v="no"/>
    <x v="0"/>
    <d v="2025-04-16T00:00:00"/>
    <s v="leadership"/>
    <n v="4"/>
    <n v="3"/>
    <n v="4"/>
    <s v="yes"/>
    <n v="3"/>
    <s v="no"/>
    <s v=""/>
    <s v=""/>
    <n v="24.7"/>
    <x v="0"/>
    <s v="Round 1"/>
    <s v="Leadership"/>
    <s v="UNMAPPED"/>
  </r>
  <r>
    <s v="SUB-0007"/>
    <s v="SYN-0007"/>
    <s v="yes"/>
    <s v="1.0.0"/>
    <s v="ROUND_2"/>
    <d v="2025-08-15T00:00:00"/>
    <d v="2025-04-03T00:00:00"/>
    <s v="SOUTH"/>
    <s v="S02"/>
    <s v="ENUM_01"/>
    <s v="yes"/>
    <s v="35_44"/>
    <s v="non_binary"/>
    <n v="5"/>
    <s v="no"/>
    <x v="0"/>
    <d v="2025-04-15T00:00:00"/>
    <s v="digital_skills"/>
    <n v="4"/>
    <n v="4"/>
    <n v="5"/>
    <s v="yes"/>
    <n v="2"/>
    <s v="yes"/>
    <s v="printed_material"/>
    <s v=""/>
    <n v="4"/>
    <x v="4"/>
    <s v="Round 2"/>
    <s v="Digital skills"/>
    <s v="Printed material"/>
  </r>
  <r>
    <s v="SUB-0195"/>
    <s v="SYN-0195"/>
    <s v="yes"/>
    <s v="1.0.0"/>
    <s v="ROUND_1"/>
    <d v="2025-06-30T00:00:00"/>
    <d v="2025-03-11T00:00:00"/>
    <s v="NORTH"/>
    <s v="N03"/>
    <s v="ENUM_05"/>
    <s v="yes"/>
    <s v="35_44"/>
    <s v="man"/>
    <n v="4"/>
    <s v="no"/>
    <x v="0"/>
    <d v="2025-06-18T00:00:00"/>
    <s v="leadership"/>
    <n v="2"/>
    <n v="1"/>
    <n v="2"/>
    <s v="yes"/>
    <n v="4"/>
    <s v="no"/>
    <s v=""/>
    <s v=""/>
    <n v="18.8"/>
    <x v="0"/>
    <s v="Round 1"/>
    <s v="Leadership"/>
    <s v="UNMAPPED"/>
  </r>
  <r>
    <s v="SUB-0365"/>
    <s v="SYN-0365"/>
    <s v="yes"/>
    <s v="1.0.0"/>
    <s v="ROUND_1"/>
    <d v="2025-08-17T00:00:00"/>
    <d v="2025-06-16T00:00:00"/>
    <s v="WEST"/>
    <s v="W01"/>
    <s v="ENUM_01"/>
    <s v="yes"/>
    <s v="35_44"/>
    <s v="woman"/>
    <n v="5"/>
    <s v="no"/>
    <x v="0"/>
    <d v="2025-06-20T00:00:00"/>
    <s v="financial_skills"/>
    <n v="1"/>
    <n v="3"/>
    <n v="4"/>
    <s v="yes"/>
    <n v="4"/>
    <s v="yes"/>
    <s v="radio"/>
    <s v="The facilitator explained the topic clearly and respectfully."/>
    <n v="9.3000000000000007"/>
    <x v="1"/>
    <s v="Round 1"/>
    <s v="Financial skills"/>
    <s v="Radio"/>
  </r>
  <r>
    <s v="SUB-0013"/>
    <s v="SYN-0013"/>
    <s v="yes"/>
    <s v="1.0.0"/>
    <s v="ROUND_2"/>
    <d v="2025-07-22T00:00:00"/>
    <d v="2025-05-13T00:00:00"/>
    <s v="SOUTH"/>
    <s v="S03"/>
    <s v="ENUM_07"/>
    <s v="yes"/>
    <s v="25_34"/>
    <s v="man"/>
    <n v="7"/>
    <s v="no"/>
    <x v="1"/>
    <m/>
    <s v=""/>
    <m/>
    <m/>
    <m/>
    <s v=""/>
    <n v="5"/>
    <s v="no"/>
    <s v=""/>
    <s v=""/>
    <n v="11"/>
    <x v="4"/>
    <s v="Round 2"/>
    <s v="UNMAPPED"/>
    <s v="UNMAPPED"/>
  </r>
  <r>
    <s v="SUB-0262"/>
    <s v="SYN-0262"/>
    <s v="yes"/>
    <s v="1.0.0"/>
    <s v="ROUND_2"/>
    <d v="2025-06-23T00:00:00"/>
    <d v="2025-03-06T00:00:00"/>
    <s v="WEST"/>
    <s v="W01"/>
    <s v="ENUM_08"/>
    <s v="yes"/>
    <s v="18_24"/>
    <s v="prefer_not"/>
    <n v="4"/>
    <s v="no"/>
    <x v="0"/>
    <d v="2025-06-03T00:00:00"/>
    <s v="digital_skills"/>
    <n v="4"/>
    <n v="3"/>
    <n v="5"/>
    <s v="no"/>
    <n v="5"/>
    <s v="no"/>
    <s v=""/>
    <s v=""/>
    <n v="19.2"/>
    <x v="1"/>
    <s v="Round 2"/>
    <s v="Digital skills"/>
    <s v="UNMAPPED"/>
  </r>
  <r>
    <s v="SUB-0289"/>
    <s v="SYN-0289"/>
    <s v="yes"/>
    <s v="1.0.0"/>
    <s v="ROUND_1"/>
    <d v="2025-06-05T00:00:00"/>
    <d v="2025-01-31T00:00:00"/>
    <s v="SOUTH"/>
    <s v="S01"/>
    <s v="ENUM_07"/>
    <s v="yes"/>
    <s v="25_34"/>
    <s v=""/>
    <n v="5"/>
    <s v="yes"/>
    <x v="0"/>
    <d v="2025-02-11T00:00:00"/>
    <s v="leadership"/>
    <n v="4"/>
    <n v="1"/>
    <n v="1"/>
    <s v="yes"/>
    <n v="2"/>
    <s v="no"/>
    <s v=""/>
    <s v="I have already used one of the planning tools from the session."/>
    <n v="14.8"/>
    <x v="4"/>
    <s v="Round 1"/>
    <s v="Leadership"/>
    <s v="UNMAPPED"/>
  </r>
  <r>
    <s v="SUB-0207"/>
    <s v="SYN-0207"/>
    <s v="yes"/>
    <s v="1.0.0"/>
    <s v="ROUND_1"/>
    <d v="2025-06-25T00:00:00"/>
    <d v="2025-04-20T00:00:00"/>
    <s v="EAST"/>
    <s v="E01"/>
    <s v="ENUM_08"/>
    <s v="yes"/>
    <s v="45_54"/>
    <s v="man"/>
    <n v="9"/>
    <s v="no"/>
    <x v="1"/>
    <m/>
    <s v=""/>
    <m/>
    <m/>
    <m/>
    <s v=""/>
    <n v="2"/>
    <s v="no"/>
    <s v=""/>
    <s v=""/>
    <n v="12.5"/>
    <x v="2"/>
    <s v="Round 1"/>
    <s v="UNMAPPED"/>
    <s v="UNMAPPED"/>
  </r>
  <r>
    <s v="SUB-0155"/>
    <s v="SYN-0155"/>
    <s v="yes"/>
    <s v="1.0.0"/>
    <s v="ROUND_1"/>
    <d v="2025-04-20T00:00:00"/>
    <d v="2024-12-18T00:00:00"/>
    <s v="WEST"/>
    <s v="W03"/>
    <s v="ENUM_02"/>
    <s v="yes"/>
    <s v="25_34"/>
    <s v="non_binary"/>
    <n v="4"/>
    <s v="no"/>
    <x v="0"/>
    <d v="2025-04-01T00:00:00"/>
    <s v="financial_skills"/>
    <n v="4"/>
    <n v="3"/>
    <n v="4"/>
    <s v="no"/>
    <n v="3"/>
    <s v="no"/>
    <s v=""/>
    <s v=""/>
    <n v="15.6"/>
    <x v="1"/>
    <s v="Round 1"/>
    <s v="Financial skills"/>
    <s v="UNMAPPED"/>
  </r>
  <r>
    <s v="SUB-0162"/>
    <s v="SYN-0162"/>
    <s v="yes"/>
    <s v="1.0.0"/>
    <s v="ROUND_2"/>
    <d v="2025-07-04T00:00:00"/>
    <d v="2025-03-19T00:00:00"/>
    <s v="WEST"/>
    <s v="W01"/>
    <s v="ENUM_04"/>
    <s v="yes"/>
    <s v="25_34"/>
    <s v="woman"/>
    <n v="4"/>
    <s v="no"/>
    <x v="0"/>
    <d v="2025-04-11T00:00:00"/>
    <s v="leadership"/>
    <n v="4"/>
    <n v="3"/>
    <n v="4"/>
    <s v="yes"/>
    <n v="5"/>
    <s v="yes"/>
    <s v="radio"/>
    <s v="The practical examples made the sessions easier to understand."/>
    <n v="19.899999999999999"/>
    <x v="1"/>
    <s v="Round 2"/>
    <s v="Leadership"/>
    <s v="Radio"/>
  </r>
  <r>
    <s v="SUB-0240"/>
    <s v="SYN-0240"/>
    <s v="yes"/>
    <s v="1.0.0"/>
    <s v="ROUND_2"/>
    <d v="2025-08-16T00:00:00"/>
    <d v="2025-06-28T00:00:00"/>
    <s v="NORTH"/>
    <s v="N03"/>
    <s v="ENUM_01"/>
    <s v="yes"/>
    <s v="45_54"/>
    <s v="woman"/>
    <n v="6"/>
    <s v="no"/>
    <x v="0"/>
    <d v="2025-08-04T00:00:00"/>
    <s v="leadership"/>
    <n v="3"/>
    <n v="3"/>
    <n v="4"/>
    <s v="no"/>
    <n v="4"/>
    <s v="no"/>
    <s v=""/>
    <s v="The facilitator explained the topic clearly and respectfully."/>
    <n v="32.299999999999997"/>
    <x v="0"/>
    <s v="Round 2"/>
    <s v="Leadership"/>
    <s v="UNMAPPED"/>
  </r>
  <r>
    <s v="SUB-0344"/>
    <s v="SYN-0344"/>
    <s v="yes"/>
    <s v="1.0.0"/>
    <s v="ROUND_1"/>
    <d v="2025-09-20T00:00:00"/>
    <d v="2025-06-11T00:00:00"/>
    <s v="WEST"/>
    <s v="W03"/>
    <s v="ENUM_01"/>
    <s v="yes"/>
    <s v="35_44"/>
    <s v="man"/>
    <n v="7"/>
    <s v="no"/>
    <x v="0"/>
    <d v="2025-07-07T00:00:00"/>
    <s v="planning"/>
    <n v="5"/>
    <n v="4"/>
    <n v="5"/>
    <s v="yes"/>
    <n v="2"/>
    <s v="no"/>
    <s v=""/>
    <s v="I would like more examples about budgeting and record keeping."/>
    <n v="20.3"/>
    <x v="1"/>
    <s v="Round 1"/>
    <s v="Planning"/>
    <s v="UNMAPPED"/>
  </r>
  <r>
    <s v="SUB-0149"/>
    <s v="SYN-0149"/>
    <s v="yes"/>
    <s v="1.0.0"/>
    <s v="ROUND_2"/>
    <d v="2025-08-25T00:00:00"/>
    <d v="2025-04-16T00:00:00"/>
    <s v="EAST"/>
    <s v="E01"/>
    <s v="ENUM_03"/>
    <s v="yes"/>
    <s v="25_34"/>
    <s v="man"/>
    <n v="6"/>
    <s v="no"/>
    <x v="0"/>
    <d v="2025-08-03T00:00:00"/>
    <s v="digital_skills"/>
    <n v="4"/>
    <n v="4"/>
    <n v="5"/>
    <s v="no"/>
    <n v="3"/>
    <s v="no"/>
    <s v=""/>
    <s v=""/>
    <n v="20.9"/>
    <x v="2"/>
    <s v="Round 2"/>
    <s v="Digital skills"/>
    <s v="UNMAPPED"/>
  </r>
  <r>
    <s v="SUB-0404"/>
    <s v="SYN-0404"/>
    <s v="yes"/>
    <s v="1.0.0"/>
    <s v="ROUND_1"/>
    <d v="2025-04-11T00:00:00"/>
    <d v="2025-01-26T00:00:00"/>
    <s v="WEST"/>
    <s v="W03"/>
    <s v="ENUM_02"/>
    <s v="yes"/>
    <s v="25_34"/>
    <s v="man"/>
    <n v="3"/>
    <s v="no"/>
    <x v="0"/>
    <d v="2025-04-03T00:00:00"/>
    <s v="leadership"/>
    <n v="5"/>
    <n v="4"/>
    <n v="5"/>
    <s v="yes"/>
    <n v="3"/>
    <s v="no"/>
    <s v=""/>
    <s v=""/>
    <n v="18.899999999999999"/>
    <x v="1"/>
    <s v="Round 1"/>
    <s v="Leadership"/>
    <s v="UNMAPPED"/>
  </r>
  <r>
    <s v="SUB-0407"/>
    <s v="SYN-0407"/>
    <s v="yes"/>
    <s v="1.0.0"/>
    <s v="ROUND_2"/>
    <d v="2025-07-03T00:00:00"/>
    <d v="2025-05-08T00:00:00"/>
    <s v="EAST"/>
    <s v="E02"/>
    <s v="ENUM_05"/>
    <s v="yes"/>
    <s v="25_34"/>
    <s v="woman"/>
    <n v="4"/>
    <s v="no"/>
    <x v="0"/>
    <d v="2025-06-06T00:00:00"/>
    <s v="digital_skills"/>
    <n v="3"/>
    <n v="4"/>
    <n v="5"/>
    <s v="no"/>
    <n v="2"/>
    <s v="no"/>
    <s v=""/>
    <s v=""/>
    <n v="10.7"/>
    <x v="2"/>
    <s v="Round 2"/>
    <s v="Digital skills"/>
    <s v="UNMAPPED"/>
  </r>
  <r>
    <s v="SUB-0211"/>
    <s v="SYN-0211"/>
    <s v="yes"/>
    <s v="1.0.0"/>
    <s v="ROUND_1"/>
    <d v="2025-07-26T00:00:00"/>
    <d v="2025-05-09T00:00:00"/>
    <s v="WEST"/>
    <s v="W03"/>
    <s v="ENUM_05"/>
    <s v="yes"/>
    <s v="25_34"/>
    <s v="non_binary"/>
    <n v="8"/>
    <s v="no"/>
    <x v="0"/>
    <d v="2025-06-09T00:00:00"/>
    <s v="financial_skills"/>
    <n v="5"/>
    <n v="3"/>
    <n v="4"/>
    <s v="no"/>
    <n v="1"/>
    <s v="no"/>
    <s v=""/>
    <s v=""/>
    <n v="17.8"/>
    <x v="1"/>
    <s v="Round 1"/>
    <s v="Financial skills"/>
    <s v="UNMAPPED"/>
  </r>
  <r>
    <s v="SUB-0081"/>
    <s v="SYN-0081"/>
    <s v="yes"/>
    <s v="1.0.0"/>
    <s v="ROUND_2"/>
    <d v="2025-08-29T00:00:00"/>
    <d v="2025-06-09T00:00:00"/>
    <s v="WEST"/>
    <s v="W02"/>
    <s v="ENUM_06"/>
    <s v="yes"/>
    <s v="25_34"/>
    <s v="woman"/>
    <n v="7"/>
    <s v="yes"/>
    <x v="0"/>
    <d v="2025-06-18T00:00:00"/>
    <s v="financial_skills"/>
    <n v="1"/>
    <n v="3"/>
    <n v="3"/>
    <s v="no"/>
    <n v="5"/>
    <s v="no"/>
    <s v=""/>
    <s v=""/>
    <n v="18.100000000000001"/>
    <x v="1"/>
    <s v="Round 2"/>
    <s v="Financial skills"/>
    <s v="UNMAPPED"/>
  </r>
  <r>
    <s v="SUB-0043"/>
    <s v="SYN-0043"/>
    <s v="yes"/>
    <s v="1.0.0"/>
    <s v="ROUND_2"/>
    <d v="2025-04-28T00:00:00"/>
    <d v="2024-12-25T00:00:00"/>
    <s v="EAST"/>
    <s v="E02"/>
    <s v="ENUM_07"/>
    <s v="yes"/>
    <s v="25_34"/>
    <s v="woman"/>
    <n v="3"/>
    <s v="no"/>
    <x v="0"/>
    <d v="2025-02-27T00:00:00"/>
    <s v="planning"/>
    <n v="4"/>
    <n v="3"/>
    <n v="5"/>
    <s v="no"/>
    <n v="4"/>
    <s v="no"/>
    <s v=""/>
    <s v=""/>
    <n v="21.1"/>
    <x v="2"/>
    <s v="Round 2"/>
    <s v="Planning"/>
    <s v="UNMAPPED"/>
  </r>
  <r>
    <s v="SUB-0199"/>
    <s v="SYN-0199"/>
    <s v="yes"/>
    <s v="1.0.0"/>
    <s v="ROUND_1"/>
    <d v="2025-05-14T00:00:00"/>
    <d v="2025-02-11T00:00:00"/>
    <s v="EAST"/>
    <s v="E02"/>
    <s v="ENUM_04"/>
    <s v="yes"/>
    <s v="35_44"/>
    <s v="woman"/>
    <n v="6"/>
    <s v="no"/>
    <x v="0"/>
    <d v="2025-02-20T00:00:00"/>
    <s v="leadership"/>
    <n v="4"/>
    <n v="4"/>
    <n v="5"/>
    <s v="no"/>
    <n v="1"/>
    <s v="no"/>
    <s v=""/>
    <s v=""/>
    <n v="28.1"/>
    <x v="2"/>
    <s v="Round 1"/>
    <s v="Leadership"/>
    <s v="UNMAPPED"/>
  </r>
  <r>
    <s v="SUB-0238"/>
    <s v="SYN-0238"/>
    <s v="yes"/>
    <s v="1.0.0"/>
    <s v="ROUND_1"/>
    <d v="2025-06-22T00:00:00"/>
    <d v="2025-02-25T00:00:00"/>
    <s v="EAST"/>
    <s v="E01"/>
    <s v="ENUM_02"/>
    <s v="yes"/>
    <s v="18_24"/>
    <s v="man"/>
    <n v="4"/>
    <s v="no"/>
    <x v="0"/>
    <d v="2025-02-26T00:00:00"/>
    <s v="financial_skills"/>
    <n v="5"/>
    <n v="1"/>
    <n v="1"/>
    <s v="yes"/>
    <n v="2"/>
    <s v="no"/>
    <s v=""/>
    <s v=""/>
    <n v="13.9"/>
    <x v="2"/>
    <s v="Round 1"/>
    <s v="Financial skills"/>
    <s v="UNMAPPED"/>
  </r>
  <r>
    <s v="SUB-0177"/>
    <s v="SYN-0177"/>
    <s v="yes"/>
    <s v="1.0.0"/>
    <s v="ROUND_1"/>
    <d v="2025-07-19T00:00:00"/>
    <d v="2025-05-26T00:00:00"/>
    <s v="WEST"/>
    <s v="W02"/>
    <s v="ENUM_06"/>
    <s v="yes"/>
    <s v="55_plus"/>
    <s v="man"/>
    <n v="5"/>
    <s v="no"/>
    <x v="1"/>
    <m/>
    <s v=""/>
    <m/>
    <m/>
    <m/>
    <s v=""/>
    <n v="4"/>
    <s v="no"/>
    <s v=""/>
    <s v=""/>
    <n v="27.2"/>
    <x v="1"/>
    <s v="Round 1"/>
    <s v="UNMAPPED"/>
    <s v="UNMAPPED"/>
  </r>
  <r>
    <s v="SUB-0381"/>
    <s v="SYN-0381"/>
    <s v="yes"/>
    <s v="1.0.0"/>
    <s v="ROUND_2"/>
    <d v="2025-09-16T00:00:00"/>
    <d v="2025-05-14T00:00:00"/>
    <s v="SOUTH"/>
    <s v="S01"/>
    <s v="ENUM_04"/>
    <s v="yes"/>
    <s v="25_34"/>
    <s v="man"/>
    <n v="3"/>
    <s v="no"/>
    <x v="1"/>
    <m/>
    <s v=""/>
    <m/>
    <m/>
    <m/>
    <s v=""/>
    <n v="3"/>
    <s v="no"/>
    <s v=""/>
    <s v=""/>
    <n v="14.6"/>
    <x v="4"/>
    <s v="Round 2"/>
    <s v="UNMAPPED"/>
    <s v="UNMAPPED"/>
  </r>
  <r>
    <s v="SUB-0318"/>
    <s v="SYN-0318"/>
    <s v="yes"/>
    <s v="1.0.0"/>
    <s v="ROUND_1"/>
    <d v="2025-04-10T00:00:00"/>
    <d v="2025-01-28T00:00:00"/>
    <s v="NORTH"/>
    <s v="N02"/>
    <s v="ENUM_07"/>
    <s v="yes"/>
    <s v="25_34"/>
    <s v="man"/>
    <n v="3"/>
    <s v="no"/>
    <x v="0"/>
    <d v="2025-04-05T00:00:00"/>
    <s v="digital_skills"/>
    <n v="3"/>
    <n v="3"/>
    <n v="5"/>
    <s v="no"/>
    <n v="4"/>
    <s v="no"/>
    <s v=""/>
    <s v="The session was useful, but the timing conflicted with other responsibilities."/>
    <n v="21.7"/>
    <x v="0"/>
    <s v="Round 1"/>
    <s v="Digital skills"/>
    <s v="UNMAPPED"/>
  </r>
  <r>
    <s v="SUB-0107"/>
    <s v="SYN-0107"/>
    <s v="yes"/>
    <s v="1.0.0"/>
    <s v="ROUND_2"/>
    <d v="2025-05-16T00:00:00"/>
    <d v="2025-03-29T00:00:00"/>
    <s v="EAST"/>
    <s v="E01"/>
    <s v="ENUM_06"/>
    <s v="yes"/>
    <s v="55_plus"/>
    <s v="woman"/>
    <n v="5"/>
    <s v="yes"/>
    <x v="0"/>
    <d v="2025-03-30T00:00:00"/>
    <s v="digital_skills"/>
    <n v="4"/>
    <n v="3"/>
    <n v="3"/>
    <s v="yes"/>
    <n v="4"/>
    <s v="no"/>
    <s v=""/>
    <s v=""/>
    <n v="13.7"/>
    <x v="2"/>
    <s v="Round 2"/>
    <s v="Digital skills"/>
    <s v="UNMAPPED"/>
  </r>
  <r>
    <s v="SUB-0263"/>
    <s v="SYN-0263"/>
    <s v="yes"/>
    <s v="1.0.0"/>
    <s v="ROUND_1"/>
    <d v="2025-04-16T00:00:00"/>
    <d v="2024-12-14T00:00:00"/>
    <s v="NORTH"/>
    <s v="N03"/>
    <s v="ENUM_04"/>
    <s v="yes"/>
    <s v="35_44"/>
    <s v="woman"/>
    <n v="5"/>
    <s v="no"/>
    <x v="0"/>
    <d v="2025-02-11T00:00:00"/>
    <s v="financial_skills"/>
    <n v="4"/>
    <n v="3"/>
    <n v="5"/>
    <s v="yes"/>
    <n v="3"/>
    <s v="no"/>
    <s v=""/>
    <s v=""/>
    <n v="10"/>
    <x v="0"/>
    <s v="Round 1"/>
    <s v="Financial skills"/>
    <s v="UNMAPPED"/>
  </r>
  <r>
    <s v="SUB-0016"/>
    <s v="SYN-0016"/>
    <s v="yes"/>
    <s v="1.0.0"/>
    <s v="ROUND_1"/>
    <d v="2025-06-26T00:00:00"/>
    <d v="2025-05-03T00:00:00"/>
    <s v="WEST"/>
    <s v="W01"/>
    <s v="ENUM_08"/>
    <s v="yes"/>
    <s v="55_plus"/>
    <s v="woman"/>
    <n v="6"/>
    <s v="no"/>
    <x v="0"/>
    <d v="2025-06-06T00:00:00"/>
    <s v="planning"/>
    <n v="3"/>
    <n v="4"/>
    <n v="5"/>
    <s v="yes"/>
    <n v="5"/>
    <s v="no"/>
    <s v=""/>
    <s v=""/>
    <n v="23"/>
    <x v="1"/>
    <s v="Round 1"/>
    <s v="Planning"/>
    <s v="UNMAPPED"/>
  </r>
  <r>
    <s v="SUB-0127"/>
    <s v="SYN-0127"/>
    <s v="yes"/>
    <s v="1.0.0"/>
    <s v="ROUND_2"/>
    <d v="2025-04-14T00:00:00"/>
    <d v="2024-12-14T00:00:00"/>
    <s v="NORTH"/>
    <s v="N03"/>
    <s v="ENUM_03"/>
    <s v="yes"/>
    <s v="25_34"/>
    <s v="man"/>
    <n v="5"/>
    <s v="no"/>
    <x v="0"/>
    <d v="2025-02-20T00:00:00"/>
    <s v="financial_skills"/>
    <n v="4"/>
    <n v="3"/>
    <n v="3"/>
    <s v="yes"/>
    <n v="3"/>
    <s v="yes"/>
    <s v="printed_material"/>
    <s v=""/>
    <n v="10.8"/>
    <x v="0"/>
    <s v="Round 2"/>
    <s v="Financial skills"/>
    <s v="Printed material"/>
  </r>
  <r>
    <s v="SUB-0305"/>
    <s v="SYN-0305"/>
    <s v="yes"/>
    <s v="1.0.0"/>
    <s v="ROUND_1"/>
    <d v="2025-08-16T00:00:00"/>
    <d v="2025-07-14T00:00:00"/>
    <s v="WEST"/>
    <s v="W02"/>
    <s v="ENUM_04"/>
    <s v="yes"/>
    <s v="18_24"/>
    <s v="man"/>
    <n v="4"/>
    <s v="yes"/>
    <x v="0"/>
    <d v="2025-07-22T00:00:00"/>
    <s v="planning"/>
    <n v="3"/>
    <n v="1"/>
    <n v="3"/>
    <s v="no"/>
    <n v="5"/>
    <s v="yes"/>
    <s v="radio"/>
    <s v=""/>
    <n v="6.3"/>
    <x v="1"/>
    <s v="Round 1"/>
    <s v="Planning"/>
    <s v="Radio"/>
  </r>
  <r>
    <s v="SUB-0351"/>
    <s v="SYN-0351"/>
    <s v="yes"/>
    <s v="1.0.0"/>
    <s v="ROUND_2"/>
    <d v="2025-08-28T00:00:00"/>
    <d v="2025-07-03T00:00:00"/>
    <s v="WEST"/>
    <s v="W01"/>
    <s v="ENUM_08"/>
    <s v="yes"/>
    <s v="25_34"/>
    <s v="man"/>
    <n v="7"/>
    <s v="no"/>
    <x v="0"/>
    <d v="2025-08-09T00:00:00"/>
    <s v="leadership"/>
    <n v="5"/>
    <n v="2"/>
    <n v="4"/>
    <s v="yes"/>
    <n v="4"/>
    <s v="no"/>
    <s v=""/>
    <s v="Travel to the meeting location was difficult during bad weather."/>
    <n v="31.8"/>
    <x v="1"/>
    <s v="Round 2"/>
    <s v="Leadership"/>
    <s v="UNMAPPED"/>
  </r>
  <r>
    <s v="SUB-0115"/>
    <s v="SYN-0115"/>
    <s v="yes"/>
    <s v="1.0.0"/>
    <s v="ROUND_1"/>
    <d v="2025-07-23T00:00:00"/>
    <d v="2025-03-28T00:00:00"/>
    <s v="WEST"/>
    <s v="W01"/>
    <s v="ENUM_06"/>
    <s v="yes"/>
    <s v="35_44"/>
    <s v="man"/>
    <n v="2"/>
    <s v="no"/>
    <x v="0"/>
    <d v="2025-04-25T00:00:00"/>
    <s v="financial_skills"/>
    <n v="4"/>
    <n v="3"/>
    <n v="5"/>
    <s v="yes"/>
    <n v="4"/>
    <s v="no"/>
    <s v=""/>
    <s v=""/>
    <n v="21.9"/>
    <x v="1"/>
    <s v="Round 1"/>
    <s v="Financial skills"/>
    <s v="UNMAPPED"/>
  </r>
  <r>
    <s v="SUB-0045"/>
    <s v="SYN-0045"/>
    <s v="yes"/>
    <s v="1.0.0"/>
    <s v="ROUND_2"/>
    <d v="2025-08-20T00:00:00"/>
    <d v="2025-07-07T00:00:00"/>
    <s v="NORTH"/>
    <s v="N03"/>
    <s v="ENUM_07"/>
    <s v="yes"/>
    <s v="18_24"/>
    <s v="man"/>
    <n v="9"/>
    <s v="no"/>
    <x v="0"/>
    <d v="2025-08-06T00:00:00"/>
    <s v="digital_skills"/>
    <n v="4"/>
    <n v="1"/>
    <n v="1"/>
    <s v="yes"/>
    <n v="3"/>
    <s v="yes"/>
    <s v="radio"/>
    <s v=""/>
    <n v="19.399999999999999"/>
    <x v="0"/>
    <s v="Round 2"/>
    <s v="Digital skills"/>
    <s v="Radio"/>
  </r>
  <r>
    <s v="SUB-0313"/>
    <s v="SYN-0313"/>
    <s v="yes"/>
    <s v="1.0.0"/>
    <s v="ROUND_1"/>
    <d v="2025-09-01T00:00:00"/>
    <d v="2025-04-27T00:00:00"/>
    <s v="EAST"/>
    <s v="E01"/>
    <s v="ENUM_03"/>
    <s v="yes"/>
    <s v="18_24"/>
    <s v="man"/>
    <n v="7"/>
    <s v="no"/>
    <x v="0"/>
    <d v="2025-06-23T00:00:00"/>
    <s v="financial_skills"/>
    <n v="4"/>
    <n v="4"/>
    <n v="4"/>
    <s v="yes"/>
    <n v="5"/>
    <s v="no"/>
    <s v=""/>
    <s v=""/>
    <n v="11.1"/>
    <x v="2"/>
    <s v="Round 1"/>
    <s v="Financial skills"/>
    <s v="UNMAPPED"/>
  </r>
  <r>
    <s v="SUB-0332"/>
    <s v="SYN-0332"/>
    <s v="yes"/>
    <s v="1.0.0"/>
    <s v="ROUND_2"/>
    <d v="2025-06-27T00:00:00"/>
    <d v="2025-04-08T00:00:00"/>
    <s v="NORTH"/>
    <s v="N03"/>
    <s v="ENUM_04"/>
    <s v="yes"/>
    <s v="25_34"/>
    <s v="man"/>
    <n v="5"/>
    <s v="no"/>
    <x v="0"/>
    <d v="2025-05-30T00:00:00"/>
    <s v="digital_skills"/>
    <n v="4"/>
    <n v="2"/>
    <n v="3"/>
    <s v="no"/>
    <n v="3"/>
    <s v="yes"/>
    <s v="printed_material"/>
    <s v="The session was useful, but the timing conflicted with other responsibilities."/>
    <n v="19.600000000000001"/>
    <x v="0"/>
    <s v="Round 2"/>
    <s v="Digital skills"/>
    <s v="Printed material"/>
  </r>
  <r>
    <s v="SUB-0298"/>
    <s v="SYN-0298"/>
    <s v="yes"/>
    <s v="1.0.0"/>
    <s v="ROUND_2"/>
    <d v="2025-08-28T00:00:00"/>
    <d v="2025-07-22T00:00:00"/>
    <s v="NORTH"/>
    <s v="N01"/>
    <s v="ENUM_08"/>
    <s v="yes"/>
    <s v=""/>
    <s v="woman"/>
    <n v="5"/>
    <s v="no"/>
    <x v="1"/>
    <m/>
    <s v=""/>
    <m/>
    <m/>
    <m/>
    <s v=""/>
    <n v="2"/>
    <s v="no"/>
    <s v=""/>
    <s v=""/>
    <n v="14.3"/>
    <x v="0"/>
    <s v="Round 2"/>
    <s v="UNMAPPED"/>
    <s v="UNMAPPED"/>
  </r>
  <r>
    <s v="SUB-0312"/>
    <s v="SYN-0312"/>
    <s v="yes"/>
    <s v="1.0.0"/>
    <s v="ROUND_2"/>
    <d v="2025-08-28T00:00:00"/>
    <d v="2025-06-25T00:00:00"/>
    <s v="SOUTH"/>
    <s v="S01"/>
    <s v="ENUM_02"/>
    <s v="yes"/>
    <s v="35_44"/>
    <s v="man"/>
    <n v="3"/>
    <s v="no"/>
    <x v="0"/>
    <d v="2025-07-17T00:00:00"/>
    <s v="planning"/>
    <n v="3"/>
    <n v="3"/>
    <n v="4"/>
    <s v="yes"/>
    <n v="5"/>
    <s v="no"/>
    <s v=""/>
    <s v=""/>
    <n v="19.5"/>
    <x v="4"/>
    <s v="Round 2"/>
    <s v="Planning"/>
    <s v="UNMAPPED"/>
  </r>
  <r>
    <s v="SUB-0044"/>
    <s v="SYN-0044"/>
    <s v="yes"/>
    <s v="1.0.0"/>
    <s v="ROUND_2"/>
    <d v="2025-06-04T00:00:00"/>
    <d v="2025-04-30T00:00:00"/>
    <s v="SOUTH"/>
    <s v="S02"/>
    <s v="ENUM_05"/>
    <s v="yes"/>
    <s v="45_54"/>
    <s v="woman"/>
    <n v="10"/>
    <s v="yes"/>
    <x v="0"/>
    <d v="2025-05-05T00:00:00"/>
    <s v="financial_skills"/>
    <n v="5"/>
    <n v="4"/>
    <n v="5"/>
    <s v="yes"/>
    <n v="4"/>
    <s v="yes"/>
    <s v="printed_material"/>
    <s v=""/>
    <n v="15.5"/>
    <x v="4"/>
    <s v="Round 2"/>
    <s v="Financial skills"/>
    <s v="Printed material"/>
  </r>
  <r>
    <s v="SUB-0330"/>
    <s v="SYN-0330"/>
    <s v="yes"/>
    <s v="1.0.0"/>
    <s v="ROUND_1"/>
    <d v="2025-04-22T00:00:00"/>
    <d v="2025-01-22T00:00:00"/>
    <s v="EAST"/>
    <s v="E02"/>
    <s v="ENUM_04"/>
    <s v="yes"/>
    <s v="25_34"/>
    <s v="woman"/>
    <n v="5"/>
    <s v="no"/>
    <x v="0"/>
    <d v="2025-03-07T00:00:00"/>
    <s v="leadership"/>
    <n v="2"/>
    <n v="1"/>
    <n v="2"/>
    <s v="no"/>
    <n v="2"/>
    <s v="no"/>
    <s v=""/>
    <s v=""/>
    <n v="24.1"/>
    <x v="2"/>
    <s v="Round 1"/>
    <s v="Leadership"/>
    <s v="UNMAPPED"/>
  </r>
  <r>
    <s v="SUB-0150"/>
    <s v="SYN-0150"/>
    <s v="yes"/>
    <s v="1.0.0"/>
    <s v="ROUND_2"/>
    <d v="2025-09-12T00:00:00"/>
    <d v="2025-07-13T00:00:00"/>
    <s v="WEST"/>
    <s v="W03"/>
    <s v="ENUM_06"/>
    <s v="yes"/>
    <s v="18_24"/>
    <s v="woman"/>
    <n v="5"/>
    <s v="no"/>
    <x v="1"/>
    <m/>
    <s v=""/>
    <m/>
    <m/>
    <m/>
    <s v=""/>
    <n v="4"/>
    <s v="no"/>
    <s v=""/>
    <s v=""/>
    <n v="19.100000000000001"/>
    <x v="1"/>
    <s v="Round 2"/>
    <s v="UNMAPPED"/>
    <s v="UNMAPPED"/>
  </r>
  <r>
    <s v="SUB-0192"/>
    <s v="SYN-0192"/>
    <s v="yes"/>
    <s v="1.0.0"/>
    <s v="ROUND_2"/>
    <d v="2025-05-31T00:00:00"/>
    <d v="2025-02-13T00:00:00"/>
    <s v="CENTRAL"/>
    <s v="E03"/>
    <s v="ENUM_02"/>
    <s v="yes"/>
    <s v="25_34"/>
    <s v="woman"/>
    <n v="3"/>
    <s v="no"/>
    <x v="0"/>
    <d v="2025-04-25T00:00:00"/>
    <s v="digital_skills"/>
    <n v="4"/>
    <n v="2"/>
    <n v="4"/>
    <s v="no"/>
    <n v="3"/>
    <s v="no"/>
    <s v=""/>
    <s v=""/>
    <n v="15.9"/>
    <x v="3"/>
    <s v="Round 2"/>
    <s v="Digital skills"/>
    <s v="UNMAPPED"/>
  </r>
  <r>
    <s v="SUB-0091"/>
    <s v="SYN-0091"/>
    <s v="yes"/>
    <s v="1.0.0"/>
    <s v="ROUND_1"/>
    <d v="2025-06-05T00:00:00"/>
    <d v="2025-02-02T00:00:00"/>
    <s v="NORTH"/>
    <s v="N01"/>
    <s v="ENUM_01"/>
    <s v="yes"/>
    <s v="45_54"/>
    <s v="woman"/>
    <n v="8"/>
    <s v="no"/>
    <x v="1"/>
    <m/>
    <s v=""/>
    <m/>
    <m/>
    <m/>
    <s v=""/>
    <n v="4"/>
    <s v="no"/>
    <s v=""/>
    <s v=""/>
    <n v="7.7"/>
    <x v="0"/>
    <s v="Round 1"/>
    <s v="UNMAPPED"/>
    <s v="UNMAPPED"/>
  </r>
  <r>
    <s v="SUB-0079"/>
    <s v="SYN-0079"/>
    <s v="yes"/>
    <s v="1.0.0"/>
    <s v="ROUND_2"/>
    <d v="2025-06-24T00:00:00"/>
    <d v="2025-03-01T00:00:00"/>
    <s v="SOUTH"/>
    <s v="S01"/>
    <s v="ENUM_06"/>
    <s v="yes"/>
    <s v="25_34"/>
    <s v="woman"/>
    <n v="5"/>
    <s v="no"/>
    <x v="1"/>
    <m/>
    <s v=""/>
    <m/>
    <m/>
    <m/>
    <s v=""/>
    <n v="3"/>
    <s v="no"/>
    <s v=""/>
    <s v=""/>
    <n v="11.5"/>
    <x v="4"/>
    <s v="Round 2"/>
    <s v="UNMAPPED"/>
    <s v="UNMAPPED"/>
  </r>
  <r>
    <s v="SUB-0136"/>
    <s v="SYN-0136"/>
    <s v="yes"/>
    <s v="1.0.0"/>
    <s v="ROUND_2"/>
    <d v="2025-07-28T00:00:00"/>
    <d v="2025-05-03T00:00:00"/>
    <s v="SOUTH"/>
    <s v="S02"/>
    <s v="ENUM_05"/>
    <s v="yes"/>
    <s v="55_plus"/>
    <s v="woman"/>
    <n v="8"/>
    <s v="no"/>
    <x v="0"/>
    <d v="2025-07-25T00:00:00"/>
    <s v="digital_skills"/>
    <n v="5"/>
    <n v="2"/>
    <n v="3"/>
    <s v="no"/>
    <n v="3"/>
    <s v="no"/>
    <s v=""/>
    <s v=""/>
    <n v="11.4"/>
    <x v="4"/>
    <s v="Round 2"/>
    <s v="Digital skills"/>
    <s v="UNMAPPED"/>
  </r>
  <r>
    <s v="SUB-0401"/>
    <s v="SYN-0401"/>
    <s v="yes"/>
    <s v="1.0.0"/>
    <s v="ROUND_1"/>
    <d v="2025-08-06T00:00:00"/>
    <d v="2025-03-16T00:00:00"/>
    <s v="EAST"/>
    <s v="E02"/>
    <s v="ENUM_02"/>
    <s v="yes"/>
    <s v="35_44"/>
    <s v="woman"/>
    <n v="5"/>
    <s v="no"/>
    <x v="0"/>
    <d v="2025-07-28T00:00:00"/>
    <s v="digital_skills"/>
    <n v="4"/>
    <n v="4"/>
    <n v="4"/>
    <s v="no"/>
    <n v="4"/>
    <s v="no"/>
    <s v=""/>
    <s v=""/>
    <n v="25.7"/>
    <x v="2"/>
    <s v="Round 1"/>
    <s v="Digital skills"/>
    <s v="UNMAPPED"/>
  </r>
  <r>
    <s v="SUB-0161"/>
    <s v="SYN-0161"/>
    <s v="yes"/>
    <s v="1.0.0"/>
    <s v="ROUND_2"/>
    <d v="2025-06-20T00:00:00"/>
    <d v="2025-04-15T00:00:00"/>
    <s v="EAST"/>
    <s v="E02"/>
    <s v="ENUM_08"/>
    <s v="yes"/>
    <s v="45_54"/>
    <s v="woman"/>
    <n v="5"/>
    <s v="no"/>
    <x v="0"/>
    <d v="2025-04-19T00:00:00"/>
    <s v="digital_skills"/>
    <n v="4"/>
    <n v="4"/>
    <n v="5"/>
    <s v="yes"/>
    <n v="2"/>
    <s v="no"/>
    <s v=""/>
    <s v="More time for questions and practice would improve the training."/>
    <n v="12.4"/>
    <x v="2"/>
    <s v="Round 2"/>
    <s v="Digital skills"/>
    <s v="UNMAPPED"/>
  </r>
  <r>
    <s v="SUB-0261"/>
    <s v="SYN-0261"/>
    <s v="yes"/>
    <s v="1.0.0"/>
    <s v="ROUND_1"/>
    <d v="2025-08-21T00:00:00"/>
    <d v="2025-06-24T00:00:00"/>
    <s v="NORTH"/>
    <s v="N02"/>
    <s v="ENUM_04"/>
    <s v="yes"/>
    <s v="25_34"/>
    <s v="man"/>
    <n v="7"/>
    <s v="no"/>
    <x v="0"/>
    <d v="2025-08-21T00:00:00"/>
    <s v="leadership"/>
    <n v="4"/>
    <n v="3"/>
    <n v="4"/>
    <s v="no"/>
    <n v="4"/>
    <s v="no"/>
    <s v=""/>
    <s v="I would like more examples about budgeting and record keeping."/>
    <n v="21.3"/>
    <x v="0"/>
    <s v="Round 1"/>
    <s v="Leadership"/>
    <s v="UNMAPPED"/>
  </r>
  <r>
    <s v="SUB-0157"/>
    <s v="SYN-0157"/>
    <s v="yes"/>
    <s v="1.0.0"/>
    <s v="ROUND_2"/>
    <d v="2025-09-02T00:00:00"/>
    <d v="2025-05-31T00:00:00"/>
    <s v="WEST"/>
    <s v="W01"/>
    <s v="ENUM_07"/>
    <s v="yes"/>
    <s v="18_24"/>
    <s v="man"/>
    <n v="3"/>
    <s v="no"/>
    <x v="0"/>
    <d v="2025-06-21T00:00:00"/>
    <s v="digital_skills"/>
    <n v="5"/>
    <n v="3"/>
    <n v="3"/>
    <s v="yes"/>
    <n v="4"/>
    <s v="no"/>
    <s v=""/>
    <s v=""/>
    <n v="14.4"/>
    <x v="1"/>
    <s v="Round 2"/>
    <s v="Digital skills"/>
    <s v="UNMAPPED"/>
  </r>
  <r>
    <s v="SUB-0239"/>
    <s v="SYN-0239"/>
    <s v="yes"/>
    <s v="1.0.0"/>
    <s v="ROUND_1"/>
    <d v="2025-07-13T00:00:00"/>
    <d v="2025-06-02T00:00:00"/>
    <s v="EAST"/>
    <s v="E02"/>
    <s v="ENUM_06"/>
    <s v="yes"/>
    <s v="18_24"/>
    <s v="man"/>
    <n v="8"/>
    <s v="no"/>
    <x v="0"/>
    <d v="2025-07-12T00:00:00"/>
    <s v="planning"/>
    <n v="5"/>
    <n v="2"/>
    <n v="2"/>
    <s v="yes"/>
    <n v="4"/>
    <s v="yes"/>
    <s v="radio"/>
    <s v=""/>
    <n v="19.5"/>
    <x v="2"/>
    <s v="Round 1"/>
    <s v="Planning"/>
    <s v="Radio"/>
  </r>
  <r>
    <s v="SUB-0233"/>
    <s v="SYN-0233"/>
    <s v="yes"/>
    <s v="1.0.0"/>
    <s v="ROUND_2"/>
    <d v="2025-07-13T00:00:00"/>
    <d v="2025-03-21T00:00:00"/>
    <s v="NORTH"/>
    <s v="N01"/>
    <s v="ENUM_02"/>
    <s v="yes"/>
    <s v="25_34"/>
    <s v="woman"/>
    <n v="2"/>
    <s v="no"/>
    <x v="0"/>
    <d v="2024-12-15T00:00:00"/>
    <s v="planning"/>
    <n v="4"/>
    <n v="2"/>
    <n v="4"/>
    <s v="yes"/>
    <n v="1"/>
    <s v="no"/>
    <s v=""/>
    <s v=""/>
    <n v="22.4"/>
    <x v="0"/>
    <s v="Round 2"/>
    <s v="Planning"/>
    <s v="UNMAPPED"/>
  </r>
  <r>
    <s v="SUB-0230"/>
    <s v="SYN-0230"/>
    <s v="yes"/>
    <s v="1.0.0"/>
    <s v="ROUND_2"/>
    <d v="2025-09-27T00:00:00"/>
    <d v="2025-08-05T00:00:00"/>
    <s v="EAST"/>
    <s v="E01"/>
    <s v="ENUM_08"/>
    <s v="yes"/>
    <s v="25_34"/>
    <s v="woman"/>
    <n v="3"/>
    <s v="no"/>
    <x v="0"/>
    <d v="2025-09-13T00:00:00"/>
    <s v="planning"/>
    <n v="2"/>
    <n v="2"/>
    <n v="3"/>
    <s v="yes"/>
    <n v="4"/>
    <s v="yes"/>
    <s v="community_meeting"/>
    <s v=""/>
    <n v="13.1"/>
    <x v="2"/>
    <s v="Round 2"/>
    <s v="Planning"/>
    <s v="Community meeting"/>
  </r>
  <r>
    <s v="SUB-0256"/>
    <s v="SYN-0256"/>
    <s v="yes"/>
    <s v="1.0.0"/>
    <s v="ROUND_2"/>
    <d v="2025-04-08T00:00:00"/>
    <d v="2024-12-29T00:00:00"/>
    <s v="SOUTH"/>
    <s v="S03"/>
    <s v="ENUM_05"/>
    <s v="yes"/>
    <s v="45_54"/>
    <s v="man"/>
    <n v="7"/>
    <s v="no"/>
    <x v="0"/>
    <d v="2025-02-16T00:00:00"/>
    <s v="financial_skills"/>
    <n v="4"/>
    <n v="4"/>
    <n v="5"/>
    <s v="yes"/>
    <n v="4"/>
    <s v="no"/>
    <s v=""/>
    <s v=""/>
    <n v="15.2"/>
    <x v="4"/>
    <s v="Round 2"/>
    <s v="Financial skills"/>
    <s v="UNMAPPED"/>
  </r>
  <r>
    <s v="SUB-0096"/>
    <s v="SYN-0096"/>
    <s v="yes"/>
    <s v="1.0.0"/>
    <s v="ROUND_1"/>
    <d v="2025-08-16T00:00:00"/>
    <d v="2025-04-20T00:00:00"/>
    <s v="WEST"/>
    <s v="W03"/>
    <s v="ENUM_04"/>
    <s v="yes"/>
    <s v="25_34"/>
    <s v="man"/>
    <n v="8"/>
    <s v="no"/>
    <x v="0"/>
    <d v="2025-07-10T00:00:00"/>
    <s v="planning"/>
    <n v="4"/>
    <n v="4"/>
    <n v="4"/>
    <s v="yes"/>
    <n v="5"/>
    <s v="no"/>
    <s v=""/>
    <s v=""/>
    <n v="8.5"/>
    <x v="1"/>
    <s v="Round 1"/>
    <s v="Planning"/>
    <s v="UNMAPPED"/>
  </r>
  <r>
    <s v="SUB-0010"/>
    <s v="SYN-0010"/>
    <s v="yes"/>
    <s v="1.0.0"/>
    <s v="ROUND_2"/>
    <d v="2025-05-09T00:00:00"/>
    <d v="2025-03-04T00:00:00"/>
    <s v="EAST"/>
    <s v="E01"/>
    <s v="ENUM_07"/>
    <s v="yes"/>
    <s v="35_44"/>
    <s v="man"/>
    <n v="11"/>
    <s v="no"/>
    <x v="0"/>
    <d v="2025-03-17T00:00:00"/>
    <s v="planning"/>
    <n v="4"/>
    <n v="1"/>
    <n v="3"/>
    <s v="yes"/>
    <n v="4"/>
    <s v="no"/>
    <s v=""/>
    <s v=""/>
    <n v="11.7"/>
    <x v="2"/>
    <s v="Round 2"/>
    <s v="Planning"/>
    <s v="UNMAPPED"/>
  </r>
  <r>
    <s v="SUB-0128"/>
    <s v="SYN-0128"/>
    <s v="yes"/>
    <s v="1.0.0"/>
    <s v="ROUND_2"/>
    <d v="2025-06-22T00:00:00"/>
    <d v="2025-05-21T00:00:00"/>
    <s v=""/>
    <s v="W01"/>
    <s v="ENUM_05"/>
    <s v="yes"/>
    <s v="35_44"/>
    <s v="man"/>
    <n v="4"/>
    <s v="no"/>
    <x v="0"/>
    <d v="2025-05-24T00:00:00"/>
    <s v="leadership"/>
    <n v="4"/>
    <n v="4"/>
    <n v="5"/>
    <s v="yes"/>
    <n v="3"/>
    <s v="no"/>
    <s v=""/>
    <s v=""/>
    <n v="18.3"/>
    <x v="3"/>
    <s v="Round 2"/>
    <s v="Leadership"/>
    <s v="UNMAPPED"/>
  </r>
  <r>
    <s v="SUB-0342"/>
    <s v="SYN-0342"/>
    <s v="yes"/>
    <s v="1.0.0"/>
    <s v="ROUND_1"/>
    <d v="2025-04-28T00:00:00"/>
    <d v="2025-03-08T00:00:00"/>
    <s v="EAST"/>
    <s v="E01"/>
    <s v="ENUM_02"/>
    <s v="yes"/>
    <s v="18_24"/>
    <s v="man"/>
    <n v="5"/>
    <s v="no"/>
    <x v="1"/>
    <m/>
    <s v=""/>
    <m/>
    <m/>
    <m/>
    <s v=""/>
    <n v="5"/>
    <s v="no"/>
    <s v=""/>
    <s v=""/>
    <n v="18.2"/>
    <x v="2"/>
    <s v="Round 1"/>
    <s v="UNMAPPED"/>
    <s v="UNMAPPED"/>
  </r>
  <r>
    <s v="SUB-0297"/>
    <s v="SYN-0297"/>
    <s v="yes"/>
    <s v="1.0.0"/>
    <s v="ROUND_1"/>
    <d v="2025-08-27T00:00:00"/>
    <d v="2025-06-21T00:00:00"/>
    <s v="WEST"/>
    <s v="W03"/>
    <s v="ENUM_01"/>
    <s v="yes"/>
    <s v="35_44"/>
    <s v="man"/>
    <n v="5"/>
    <s v="no"/>
    <x v="0"/>
    <d v="2025-07-19T00:00:00"/>
    <s v="financial_skills"/>
    <n v="5"/>
    <n v="1"/>
    <n v="1"/>
    <s v="yes"/>
    <n v="4"/>
    <s v="yes"/>
    <s v="community_meeting"/>
    <s v="Shorter sessions on more days would be easier to attend."/>
    <n v="12"/>
    <x v="1"/>
    <s v="Round 1"/>
    <s v="Financial skills"/>
    <s v="Community meeting"/>
  </r>
  <r>
    <s v="SUB-0226"/>
    <s v="SYN-0226"/>
    <s v="yes"/>
    <s v="1.0.0"/>
    <s v="ROUND_2"/>
    <d v="2025-07-13T00:00:00"/>
    <d v="2025-05-12T00:00:00"/>
    <s v="NORTH"/>
    <s v="N03"/>
    <s v="ENUM_08"/>
    <s v="yes"/>
    <s v="35_44"/>
    <s v="woman"/>
    <n v="6"/>
    <s v="no"/>
    <x v="0"/>
    <d v="2025-06-16T00:00:00"/>
    <s v="planning"/>
    <n v="5"/>
    <n v="4"/>
    <n v="5"/>
    <s v="yes"/>
    <n v="3"/>
    <s v="no"/>
    <s v=""/>
    <s v=""/>
    <n v="9.1999999999999993"/>
    <x v="0"/>
    <s v="Round 2"/>
    <s v="Planning"/>
    <s v="UNMAPPED"/>
  </r>
  <r>
    <s v="SUB-0203"/>
    <s v="SYN-0203"/>
    <s v="yes"/>
    <s v="1.0.0"/>
    <s v="ROUND_1"/>
    <d v="2025-06-06T00:00:00"/>
    <d v="2025-04-19T00:00:00"/>
    <s v="EAST"/>
    <s v="E02"/>
    <s v="ENUM_07"/>
    <s v="yes"/>
    <s v="25_34"/>
    <s v="man"/>
    <n v="6"/>
    <s v="no"/>
    <x v="0"/>
    <d v="2025-05-07T00:00:00"/>
    <s v="leadership"/>
    <n v="3"/>
    <n v="1"/>
    <n v="2"/>
    <s v="yes"/>
    <n v="4"/>
    <s v="no"/>
    <s v=""/>
    <s v=""/>
    <n v="18.100000000000001"/>
    <x v="2"/>
    <s v="Round 1"/>
    <s v="Leadership"/>
    <s v="UNMAPPED"/>
  </r>
  <r>
    <s v="SUB-0071"/>
    <s v="SYN-0071"/>
    <s v="yes"/>
    <s v="1.0.0"/>
    <s v="ROUND_1"/>
    <d v="2025-06-21T00:00:00"/>
    <d v="2025-03-03T00:00:00"/>
    <s v="SOUTH"/>
    <s v="S03"/>
    <s v="ENUM_08"/>
    <s v="yes"/>
    <s v="45_54"/>
    <s v="man"/>
    <n v="4"/>
    <s v="no"/>
    <x v="0"/>
    <d v="2025-05-25T00:00:00"/>
    <s v="leadership"/>
    <n v="5"/>
    <n v="3"/>
    <n v="4"/>
    <s v="no"/>
    <n v="4"/>
    <s v="no"/>
    <s v=""/>
    <s v=""/>
    <n v="16.100000000000001"/>
    <x v="4"/>
    <s v="Round 1"/>
    <s v="Leadership"/>
    <s v="UNMAPPED"/>
  </r>
  <r>
    <s v="SUB-0243"/>
    <s v="SYN-0243"/>
    <s v="yes"/>
    <s v="1.0.0"/>
    <s v="ROUND_1"/>
    <d v="2025-07-26T00:00:00"/>
    <d v="2025-06-21T00:00:00"/>
    <s v="EAST"/>
    <s v="E01"/>
    <s v="ENUM_02"/>
    <s v="yes"/>
    <s v="55_plus"/>
    <s v="non_binary"/>
    <n v="3"/>
    <s v="no"/>
    <x v="0"/>
    <d v="2025-07-03T00:00:00"/>
    <s v="planning"/>
    <n v="2"/>
    <n v="4"/>
    <n v="4"/>
    <s v="yes"/>
    <n v="3"/>
    <s v="no"/>
    <s v=""/>
    <s v="The group activities helped me learn from other participants."/>
    <n v="18"/>
    <x v="2"/>
    <s v="Round 1"/>
    <s v="Planning"/>
    <s v="UNMAPPED"/>
  </r>
  <r>
    <s v="SUB-0156"/>
    <s v="SYN-0156"/>
    <s v="yes"/>
    <s v="1.0.0"/>
    <s v="ROUND_2"/>
    <d v="2025-04-29T00:00:00"/>
    <d v="2025-03-25T00:00:00"/>
    <s v="SOUTH"/>
    <s v="S01"/>
    <s v="ENUM_03"/>
    <s v="yes"/>
    <s v="35_44"/>
    <s v="man"/>
    <n v="6"/>
    <s v="no"/>
    <x v="0"/>
    <d v="2025-04-20T00:00:00"/>
    <s v="financial_skills"/>
    <n v="2"/>
    <n v="3"/>
    <n v="5"/>
    <s v="yes"/>
    <n v="5"/>
    <s v="no"/>
    <s v=""/>
    <s v=""/>
    <n v="13.1"/>
    <x v="4"/>
    <s v="Round 2"/>
    <s v="Financial skills"/>
    <s v="UNMAPPED"/>
  </r>
  <r>
    <s v="SUB-0066"/>
    <s v="SYN-0066"/>
    <s v="yes"/>
    <s v="1.0.0"/>
    <s v="ROUND_1"/>
    <d v="2025-09-15T00:00:00"/>
    <d v="2025-05-27T00:00:00"/>
    <s v="NORTH"/>
    <s v="N02"/>
    <s v="ENUM_08"/>
    <s v="yes"/>
    <s v="35_44"/>
    <s v="woman"/>
    <n v="3"/>
    <s v="no"/>
    <x v="0"/>
    <d v="2025-07-25T00:00:00"/>
    <s v="leadership"/>
    <n v="4"/>
    <n v="3"/>
    <n v="4"/>
    <s v="no"/>
    <n v="3"/>
    <s v="no"/>
    <s v=""/>
    <s v=""/>
    <n v="21.4"/>
    <x v="0"/>
    <s v="Round 1"/>
    <s v="Leadership"/>
    <s v="UNMAPPED"/>
  </r>
  <r>
    <s v="SUB-0403"/>
    <s v="SYN-0403"/>
    <s v="yes"/>
    <s v="1.0.0"/>
    <s v="ROUND_1"/>
    <d v="2025-05-09T00:00:00"/>
    <d v="2025-03-10T00:00:00"/>
    <s v="SOUTH"/>
    <s v="S03"/>
    <s v="ENUM_04"/>
    <s v="yes"/>
    <s v="25_34"/>
    <s v="man"/>
    <n v="5"/>
    <s v="yes"/>
    <x v="0"/>
    <d v="2025-03-19T00:00:00"/>
    <s v="leadership"/>
    <n v="4"/>
    <n v="4"/>
    <n v="5"/>
    <s v="yes"/>
    <n v="3"/>
    <s v="yes"/>
    <s v="community_meeting"/>
    <s v="Travel to the meeting location was difficult during bad weather."/>
    <n v="21.5"/>
    <x v="4"/>
    <s v="Round 1"/>
    <s v="Leadership"/>
    <s v="Community meeting"/>
  </r>
  <r>
    <s v="SUB-0049"/>
    <s v="SYN-0049"/>
    <s v="yes"/>
    <s v="1.0.0"/>
    <s v="ROUND_2"/>
    <d v="2025-05-26T00:00:00"/>
    <d v="2025-03-10T00:00:00"/>
    <s v="NORTH"/>
    <s v="N02"/>
    <s v="ENUM_04"/>
    <s v="yes"/>
    <s v="25_34"/>
    <s v="man"/>
    <n v="5"/>
    <s v="no"/>
    <x v="1"/>
    <m/>
    <s v=""/>
    <m/>
    <m/>
    <m/>
    <s v=""/>
    <n v="4"/>
    <s v="no"/>
    <s v=""/>
    <s v=""/>
    <n v="20.2"/>
    <x v="0"/>
    <s v="Round 2"/>
    <s v="UNMAPPED"/>
    <s v="UNMAPPED"/>
  </r>
  <r>
    <s v="SUB-0275"/>
    <s v="SYN-0275"/>
    <s v="yes"/>
    <s v="1.0.0"/>
    <s v="ROUND_2"/>
    <d v="2025-05-06T00:00:00"/>
    <d v="2025-03-22T00:00:00"/>
    <s v="EAST"/>
    <s v="E03"/>
    <s v="ENUM_01"/>
    <s v="yes"/>
    <s v="25_34"/>
    <s v="woman"/>
    <n v="3"/>
    <s v="no"/>
    <x v="1"/>
    <m/>
    <s v=""/>
    <m/>
    <m/>
    <m/>
    <s v=""/>
    <n v="3"/>
    <s v="no"/>
    <s v=""/>
    <s v=""/>
    <n v="14"/>
    <x v="2"/>
    <s v="Round 2"/>
    <s v="UNMAPPED"/>
    <s v="UNMAPPED"/>
  </r>
  <r>
    <s v="SUB-0251"/>
    <s v="SYN-0251"/>
    <s v="yes"/>
    <s v="1.0.0"/>
    <s v="ROUND_1"/>
    <d v="2025-06-18T00:00:00"/>
    <d v="2025-04-03T00:00:00"/>
    <s v="NORTH"/>
    <s v="N01"/>
    <s v="ENUM_06"/>
    <s v="yes"/>
    <s v="35_44"/>
    <s v="man"/>
    <n v="5"/>
    <s v="no"/>
    <x v="0"/>
    <d v="2025-06-08T00:00:00"/>
    <s v="planning"/>
    <n v="4"/>
    <n v="2"/>
    <n v="3"/>
    <s v="yes"/>
    <n v="1"/>
    <s v="yes"/>
    <s v="community_meeting"/>
    <s v=""/>
    <n v="19.399999999999999"/>
    <x v="0"/>
    <s v="Round 1"/>
    <s v="Planning"/>
    <s v="Community meeting"/>
  </r>
  <r>
    <s v="SUB-0086"/>
    <s v="SYN-0086"/>
    <s v="yes"/>
    <s v="1.0.0"/>
    <s v="ROUND_2"/>
    <d v="2025-08-08T00:00:00"/>
    <d v="2025-03-15T00:00:00"/>
    <s v="WEST"/>
    <s v="W01"/>
    <s v="ENUM_06"/>
    <s v="yes"/>
    <s v="18_24"/>
    <s v="man"/>
    <n v="6"/>
    <s v="no"/>
    <x v="0"/>
    <d v="2025-03-25T00:00:00"/>
    <s v="financial_skills"/>
    <n v="5"/>
    <n v="1"/>
    <n v="3"/>
    <s v="no"/>
    <n v="5"/>
    <s v="yes"/>
    <s v="radio"/>
    <s v=""/>
    <n v="21.5"/>
    <x v="1"/>
    <s v="Round 2"/>
    <s v="Financial skills"/>
    <s v="Radio"/>
  </r>
  <r>
    <s v="SUB-0138"/>
    <s v="SYN-0138"/>
    <s v="yes"/>
    <s v="1.0.0"/>
    <s v="ROUND_1"/>
    <d v="2025-05-05T00:00:00"/>
    <d v="2024-12-28T00:00:00"/>
    <s v="NORTH"/>
    <s v="N03"/>
    <s v="ENUM_01"/>
    <s v="yes"/>
    <s v="35_44"/>
    <s v="woman"/>
    <n v="5"/>
    <s v="no"/>
    <x v="0"/>
    <d v="2025-01-13T00:00:00"/>
    <s v="planning"/>
    <n v="5"/>
    <n v="3"/>
    <n v="4"/>
    <s v="yes"/>
    <n v="4"/>
    <s v="no"/>
    <s v=""/>
    <s v=""/>
    <n v="20.7"/>
    <x v="0"/>
    <s v="Round 1"/>
    <s v="Planning"/>
    <s v="UNMAPPED"/>
  </r>
  <r>
    <s v="SUB-0080"/>
    <s v="SYN-0080"/>
    <s v="yes"/>
    <s v="1.0.0"/>
    <s v="ROUND_1"/>
    <d v="2025-08-17T00:00:00"/>
    <d v="2025-04-17T00:00:00"/>
    <s v="WEST"/>
    <s v="W03"/>
    <s v="ENUM_08"/>
    <s v="yes"/>
    <s v="18_24"/>
    <s v="man"/>
    <n v="5"/>
    <s v="no"/>
    <x v="0"/>
    <d v="2025-07-29T00:00:00"/>
    <s v="digital_skills"/>
    <n v="2"/>
    <n v="1"/>
    <n v="2"/>
    <s v="yes"/>
    <n v="4"/>
    <s v="no"/>
    <s v=""/>
    <s v=""/>
    <n v="30.4"/>
    <x v="1"/>
    <s v="Round 1"/>
    <s v="Digital skills"/>
    <s v="UNMAPPED"/>
  </r>
  <r>
    <s v="SUB-0123"/>
    <s v="SYN-0123"/>
    <s v="yes"/>
    <s v="1.0.0"/>
    <s v="ROUND_2"/>
    <d v="2025-05-04T00:00:00"/>
    <d v="2025-02-16T00:00:00"/>
    <s v="WEST"/>
    <s v="W01"/>
    <s v="ENUM_02"/>
    <s v="yes"/>
    <s v="45_54"/>
    <s v="man"/>
    <n v="4"/>
    <s v="no"/>
    <x v="1"/>
    <m/>
    <s v=""/>
    <m/>
    <m/>
    <m/>
    <s v=""/>
    <n v="5"/>
    <s v="no"/>
    <s v=""/>
    <s v=""/>
    <n v="18.899999999999999"/>
    <x v="1"/>
    <s v="Round 2"/>
    <s v="UNMAPPED"/>
    <s v="UNMAPPED"/>
  </r>
  <r>
    <s v="SUB-0220"/>
    <s v="SYN-0220"/>
    <s v="yes"/>
    <s v="1.0.0"/>
    <s v="ROUND_2"/>
    <d v="2025-07-08T00:00:00"/>
    <d v="2025-02-23T00:00:00"/>
    <s v="EAST"/>
    <s v="E01"/>
    <s v="ENUM_01"/>
    <s v="yes"/>
    <s v="25_34"/>
    <s v="man"/>
    <n v="4"/>
    <s v="no"/>
    <x v="0"/>
    <d v="2025-04-11T00:00:00"/>
    <s v="financial_skills"/>
    <n v="4"/>
    <n v="1"/>
    <n v="2"/>
    <s v="no"/>
    <n v="3"/>
    <s v="no"/>
    <s v=""/>
    <s v=""/>
    <n v="11.2"/>
    <x v="2"/>
    <s v="Round 2"/>
    <s v="Financial skills"/>
    <s v="UNMAPPED"/>
  </r>
  <r>
    <s v="SUB-0271"/>
    <s v="SYN-0271"/>
    <s v="yes"/>
    <s v="1.0.0"/>
    <s v="ROUND_2"/>
    <d v="2025-06-12T00:00:00"/>
    <d v="2025-04-08T00:00:00"/>
    <s v="EAST"/>
    <s v="E03"/>
    <s v="ENUM_01"/>
    <s v="yes"/>
    <s v="25_34"/>
    <s v="woman"/>
    <n v="8"/>
    <s v="no"/>
    <x v="1"/>
    <m/>
    <s v=""/>
    <m/>
    <m/>
    <m/>
    <s v=""/>
    <n v="4"/>
    <s v="no"/>
    <s v=""/>
    <s v=""/>
    <n v="23.5"/>
    <x v="2"/>
    <s v="Round 2"/>
    <s v="UNMAPPED"/>
    <s v="UNMAPPED"/>
  </r>
  <r>
    <s v="SUB-0391"/>
    <s v="SYN-0391"/>
    <s v="yes"/>
    <s v="1.0.0"/>
    <s v="ROUND_2"/>
    <d v="2025-05-19T00:00:00"/>
    <d v="2025-01-05T00:00:00"/>
    <s v="SOUTH"/>
    <s v="S01"/>
    <s v="ENUM_07"/>
    <s v="yes"/>
    <s v="35_44"/>
    <s v="woman"/>
    <n v="4"/>
    <s v="no"/>
    <x v="0"/>
    <d v="2025-04-10T00:00:00"/>
    <s v="planning"/>
    <n v="3"/>
    <n v="4"/>
    <n v="5"/>
    <s v="yes"/>
    <n v="4"/>
    <s v="no"/>
    <s v=""/>
    <s v=""/>
    <n v="23.9"/>
    <x v="4"/>
    <s v="Round 2"/>
    <s v="Planning"/>
    <s v="UNMAPPED"/>
  </r>
  <r>
    <s v="SUB-DUP-009"/>
    <s v="SYN-0398"/>
    <s v="yes"/>
    <s v="1.0.0"/>
    <s v="ROUND_2"/>
    <d v="2025-07-16T00:00:00"/>
    <d v="2025-05-25T00:00:00"/>
    <s v="SOUTH"/>
    <s v="S01"/>
    <s v="ENUM_07"/>
    <s v="yes"/>
    <s v="35_44"/>
    <s v="man"/>
    <n v="4"/>
    <s v="no"/>
    <x v="0"/>
    <d v="2025-05-30T00:00:00"/>
    <s v="financial_skills"/>
    <n v="4"/>
    <n v="2"/>
    <n v="3"/>
    <s v="yes"/>
    <n v="1"/>
    <s v="no"/>
    <s v=""/>
    <s v="The facilitator explained the topic clearly and respectfully."/>
    <n v="19.899999999999999"/>
    <x v="4"/>
    <s v="Round 2"/>
    <s v="Financial skills"/>
    <s v="UNMAPPED"/>
  </r>
  <r>
    <s v="SUB-0326"/>
    <s v="SYN-0326"/>
    <s v="yes"/>
    <s v="1.0.0"/>
    <s v="ROUND_1"/>
    <d v="2025-04-06T00:00:00"/>
    <d v="2025-02-10T00:00:00"/>
    <s v="EAST"/>
    <s v="E01"/>
    <s v="ENUM_08"/>
    <s v="yes"/>
    <s v="18_24"/>
    <s v="man"/>
    <n v="3"/>
    <s v="no"/>
    <x v="1"/>
    <m/>
    <s v=""/>
    <m/>
    <m/>
    <m/>
    <s v=""/>
    <n v="3"/>
    <s v="no"/>
    <s v=""/>
    <s v=""/>
    <n v="29.9"/>
    <x v="2"/>
    <s v="Round 1"/>
    <s v="UNMAPPED"/>
    <s v="UNMAPPED"/>
  </r>
  <r>
    <s v="SUB-0099"/>
    <s v="SYN-0099"/>
    <s v="yes"/>
    <s v="1.0.0"/>
    <s v="ROUND_2"/>
    <d v="2025-06-05T00:00:00"/>
    <d v="2025-03-03T00:00:00"/>
    <s v="EAST"/>
    <s v="E02"/>
    <s v="ENUM_04"/>
    <s v="yes"/>
    <s v="25_34"/>
    <s v="woman"/>
    <n v="5"/>
    <s v="no"/>
    <x v="0"/>
    <d v="2025-05-03T00:00:00"/>
    <s v="digital_skills"/>
    <n v="5"/>
    <n v="1"/>
    <n v="1"/>
    <s v="yes"/>
    <n v="4"/>
    <s v="yes"/>
    <s v="printed_material"/>
    <s v="Printed materials would help people who cannot attend every session."/>
    <n v="11.6"/>
    <x v="2"/>
    <s v="Round 2"/>
    <s v="Digital skills"/>
    <s v="Printed material"/>
  </r>
  <r>
    <s v="SUB-0231"/>
    <s v="SYN-0231"/>
    <s v="yes"/>
    <s v="1.0.0"/>
    <s v="ROUND_2"/>
    <d v="2025-07-08T00:00:00"/>
    <d v="2025-03-28T00:00:00"/>
    <s v="NORTH"/>
    <s v="N03"/>
    <s v="ENUM_07"/>
    <s v="yes"/>
    <s v="18_24"/>
    <s v="woman"/>
    <n v="5"/>
    <s v="no"/>
    <x v="1"/>
    <m/>
    <s v=""/>
    <m/>
    <m/>
    <m/>
    <s v=""/>
    <n v="4"/>
    <s v="no"/>
    <s v=""/>
    <s v=""/>
    <n v="19.2"/>
    <x v="0"/>
    <s v="Round 2"/>
    <s v="UNMAPPED"/>
    <s v="UNMAPPED"/>
  </r>
  <r>
    <s v="SUB-0212"/>
    <s v="SYN-0212"/>
    <s v="yes"/>
    <s v="1.0.0"/>
    <s v="ROUND_2"/>
    <d v="2025-08-30T00:00:00"/>
    <d v="2025-04-15T00:00:00"/>
    <s v="WEST"/>
    <s v="W01"/>
    <s v="ENUM_07"/>
    <s v="yes"/>
    <s v="18_24"/>
    <s v="woman"/>
    <n v="5"/>
    <s v="no"/>
    <x v="0"/>
    <d v="2025-07-10T00:00:00"/>
    <s v="leadership"/>
    <n v="5"/>
    <n v="4"/>
    <n v="5"/>
    <s v="yes"/>
    <n v="3"/>
    <s v="no"/>
    <s v=""/>
    <s v=""/>
    <n v="18.100000000000001"/>
    <x v="1"/>
    <s v="Round 2"/>
    <s v="Leadership"/>
    <s v="UNMAPPED"/>
  </r>
  <r>
    <s v="SUB-0180"/>
    <s v="SYN-0180"/>
    <s v="yes"/>
    <s v="1.0.0"/>
    <s v="ROUND_2"/>
    <d v="2025-04-05T00:00:00"/>
    <d v="2024-12-21T00:00:00"/>
    <s v="WEST"/>
    <s v="W02"/>
    <s v="ENUM_01"/>
    <s v="yes"/>
    <s v="18_24"/>
    <s v="woman"/>
    <n v="7"/>
    <s v="no"/>
    <x v="0"/>
    <d v="2025-03-01T00:00:00"/>
    <s v="financial_skills"/>
    <n v="5"/>
    <n v="1"/>
    <n v="2"/>
    <s v="yes"/>
    <n v="5"/>
    <s v="no"/>
    <s v=""/>
    <s v=""/>
    <n v="19.7"/>
    <x v="1"/>
    <s v="Round 2"/>
    <s v="Financial skills"/>
    <s v="UNMAPPED"/>
  </r>
  <r>
    <s v="SUB-0255"/>
    <s v="SYN-0255"/>
    <s v="yes"/>
    <s v="1.0.0"/>
    <s v="ROUND_1"/>
    <d v="2025-08-13T00:00:00"/>
    <d v="2025-05-08T00:00:00"/>
    <s v="EAST"/>
    <s v="E01"/>
    <s v="ENUM_03"/>
    <s v="yes"/>
    <s v="35_44"/>
    <s v="man"/>
    <n v="6"/>
    <s v="no"/>
    <x v="0"/>
    <d v="2025-07-23T00:00:00"/>
    <s v="digital_skills"/>
    <n v="3"/>
    <n v="2"/>
    <n v="3"/>
    <s v="no"/>
    <n v="4"/>
    <s v="no"/>
    <s v=""/>
    <s v=""/>
    <n v="14.1"/>
    <x v="2"/>
    <s v="Round 1"/>
    <s v="Digital skills"/>
    <s v="UNMAPPED"/>
  </r>
  <r>
    <s v="SUB-0252"/>
    <s v="SYN-0252"/>
    <s v="yes"/>
    <s v="1.0.0"/>
    <s v="ROUND_1"/>
    <d v="2025-08-27T00:00:00"/>
    <d v="2025-04-04T00:00:00"/>
    <s v="SOUTH"/>
    <s v="S01"/>
    <s v="ENUM_06"/>
    <s v="yes"/>
    <s v="25_34"/>
    <s v="woman"/>
    <n v="6"/>
    <s v="no"/>
    <x v="0"/>
    <d v="2025-07-28T00:00:00"/>
    <s v="digital_skills"/>
    <n v="4"/>
    <n v="4"/>
    <n v="4"/>
    <s v="no"/>
    <n v="5"/>
    <s v="no"/>
    <s v=""/>
    <s v=""/>
    <n v="10.1"/>
    <x v="4"/>
    <s v="Round 1"/>
    <s v="Digital skills"/>
    <s v="UNMAPPED"/>
  </r>
  <r>
    <s v="SUB-0236"/>
    <s v="SYN-0236"/>
    <s v="yes"/>
    <s v="1.0.0"/>
    <s v="ROUND_2"/>
    <d v="2025-08-04T00:00:00"/>
    <d v="2025-06-08T00:00:00"/>
    <s v="NORTH"/>
    <s v="N01"/>
    <s v="ENUM_01"/>
    <s v="yes"/>
    <s v="45_54"/>
    <s v="woman"/>
    <n v="4"/>
    <s v="no"/>
    <x v="1"/>
    <m/>
    <s v=""/>
    <m/>
    <m/>
    <m/>
    <s v=""/>
    <n v="4"/>
    <s v="no"/>
    <s v=""/>
    <s v=""/>
    <n v="7.1"/>
    <x v="0"/>
    <s v="Round 2"/>
    <s v="UNMAPPED"/>
    <s v="UNMAPPED"/>
  </r>
  <r>
    <s v="SUB-0345"/>
    <s v="SYN-0345"/>
    <s v="yes"/>
    <s v="1.0.0"/>
    <s v="ROUND_1"/>
    <d v="2025-08-05T00:00:00"/>
    <d v="2025-04-20T00:00:00"/>
    <s v="WEST"/>
    <s v="W01"/>
    <s v="ENUM_01"/>
    <s v="yes"/>
    <s v="35_44"/>
    <s v="man"/>
    <n v="4"/>
    <s v="yes"/>
    <x v="0"/>
    <d v="2025-05-04T00:00:00"/>
    <s v="planning"/>
    <n v="4"/>
    <n v="1"/>
    <n v="3"/>
    <s v="yes"/>
    <n v="5"/>
    <s v="no"/>
    <s v=""/>
    <s v=""/>
    <n v="19.100000000000001"/>
    <x v="1"/>
    <s v="Round 1"/>
    <s v="Planning"/>
    <s v="UNMAPPED"/>
  </r>
  <r>
    <s v="SUB-0279"/>
    <s v="SYN-0279"/>
    <s v="yes"/>
    <s v="1.0.0"/>
    <s v="ROUND_2"/>
    <d v="2025-05-11T00:00:00"/>
    <d v="2025-03-12T00:00:00"/>
    <s v="SOUTH"/>
    <s v="S02"/>
    <s v="ENUM_02"/>
    <s v="yes"/>
    <s v="18_24"/>
    <s v="man"/>
    <n v="7"/>
    <s v="no"/>
    <x v="1"/>
    <m/>
    <s v=""/>
    <m/>
    <m/>
    <m/>
    <s v=""/>
    <n v="5"/>
    <s v="yes"/>
    <s v="community_meeting"/>
    <s v=""/>
    <n v="21.3"/>
    <x v="4"/>
    <s v="Round 2"/>
    <s v="UNMAPPED"/>
    <s v="Community meeting"/>
  </r>
  <r>
    <s v="SUB-0314"/>
    <s v="SYN-0314"/>
    <s v="yes"/>
    <s v="1.0.0"/>
    <s v="ROUND_2"/>
    <d v="2025-06-04T00:00:00"/>
    <d v="2025-01-22T00:00:00"/>
    <s v="EAST"/>
    <s v="E03"/>
    <s v="ENUM_04"/>
    <s v="yes"/>
    <s v="25_34"/>
    <s v="woman"/>
    <n v="4"/>
    <s v="yes"/>
    <x v="0"/>
    <d v="2025-06-04T00:00:00"/>
    <s v="digital_skills"/>
    <n v="5"/>
    <n v="2"/>
    <n v="3"/>
    <s v="no"/>
    <n v="2"/>
    <s v="no"/>
    <s v=""/>
    <s v="The facilitator explained the topic clearly and respectfully."/>
    <n v="21.8"/>
    <x v="2"/>
    <s v="Round 2"/>
    <s v="Digital skills"/>
    <s v="UNMAPPED"/>
  </r>
  <r>
    <s v="SUB-0006"/>
    <s v="SYN-0006"/>
    <s v="yes"/>
    <s v="1.0.0"/>
    <s v="ROUND_2"/>
    <d v="2025-08-22T00:00:00"/>
    <d v="2025-05-07T00:00:00"/>
    <s v="SOUTH"/>
    <s v="S03"/>
    <s v="ENUM_04"/>
    <s v="yes"/>
    <s v="18_24"/>
    <s v="man"/>
    <n v="2"/>
    <s v="no"/>
    <x v="0"/>
    <d v="2025-05-10T00:00:00"/>
    <s v="planning"/>
    <n v="2"/>
    <n v="3"/>
    <n v="4"/>
    <s v="no"/>
    <n v="2"/>
    <s v="no"/>
    <s v=""/>
    <s v="More time for questions and practice would improve the training."/>
    <n v="19.399999999999999"/>
    <x v="4"/>
    <s v="Round 2"/>
    <s v="Planning"/>
    <s v="UNMAPPED"/>
  </r>
  <r>
    <s v="SUB-0122"/>
    <s v="SYN-0122"/>
    <s v="yes"/>
    <s v="1.0.0"/>
    <s v=""/>
    <m/>
    <m/>
    <s v=""/>
    <s v=""/>
    <s v=""/>
    <s v="no"/>
    <s v=""/>
    <s v=""/>
    <m/>
    <s v=""/>
    <x v="2"/>
    <m/>
    <s v=""/>
    <m/>
    <m/>
    <m/>
    <s v=""/>
    <m/>
    <s v=""/>
    <s v=""/>
    <s v=""/>
    <m/>
    <x v="3"/>
    <s v="UNMAPPED"/>
    <s v="UNMAPPED"/>
    <s v="UNMAPPED"/>
  </r>
  <r>
    <s v="SUB-DUP-003"/>
    <s v="SYN-0246"/>
    <s v="yes"/>
    <s v="1.0.0"/>
    <s v="ROUND_2"/>
    <d v="2025-06-13T00:00:00"/>
    <d v="2025-02-04T00:00:00"/>
    <s v="SOUTH"/>
    <s v="S03"/>
    <s v="ENUM_04"/>
    <s v="yes"/>
    <s v="18_24"/>
    <s v="man"/>
    <n v="1"/>
    <s v="no"/>
    <x v="0"/>
    <d v="2025-04-21T00:00:00"/>
    <s v="digital_skills"/>
    <n v="4"/>
    <n v="3"/>
    <n v="4"/>
    <s v="yes"/>
    <n v="5"/>
    <s v="no"/>
    <s v=""/>
    <s v=""/>
    <n v="14.4"/>
    <x v="4"/>
    <s v="Round 2"/>
    <s v="Digital skills"/>
    <s v="UNMAPPED"/>
  </r>
  <r>
    <s v="SUB-0083"/>
    <s v="SYN-0083"/>
    <s v="yes"/>
    <s v="1.0.0"/>
    <s v="ROUND_1"/>
    <d v="2025-06-23T00:00:00"/>
    <d v="2025-03-22T00:00:00"/>
    <s v="WEST"/>
    <s v="W01"/>
    <s v="ENUM_01"/>
    <s v="yes"/>
    <s v="25_34"/>
    <s v="woman"/>
    <n v="6"/>
    <s v="no"/>
    <x v="0"/>
    <d v="2025-06-17T00:00:00"/>
    <s v="digital_skills"/>
    <n v="3"/>
    <n v="2"/>
    <n v="3"/>
    <s v="yes"/>
    <n v="5"/>
    <s v="no"/>
    <s v=""/>
    <s v=""/>
    <n v="20.7"/>
    <x v="1"/>
    <s v="Round 1"/>
    <s v="Digital skills"/>
    <s v="UNMAPPED"/>
  </r>
  <r>
    <s v="SUB-0386"/>
    <s v="SYN-0386"/>
    <s v="yes"/>
    <s v="1.0.0"/>
    <s v="ROUND_1"/>
    <d v="2025-05-10T00:00:00"/>
    <d v="2025-02-14T00:00:00"/>
    <s v="WEST"/>
    <s v="W03"/>
    <s v="ENUM_08"/>
    <s v="yes"/>
    <s v="35_44"/>
    <s v="woman"/>
    <n v="3"/>
    <s v="no"/>
    <x v="0"/>
    <d v="2025-03-28T00:00:00"/>
    <s v="financial_skills"/>
    <n v="4"/>
    <n v="3"/>
    <n v="3"/>
    <s v="yes"/>
    <n v="3"/>
    <s v="no"/>
    <s v=""/>
    <s v=""/>
    <n v="19.5"/>
    <x v="1"/>
    <s v="Round 1"/>
    <s v="Financial skills"/>
    <s v="UNMAPPED"/>
  </r>
  <r>
    <s v="SUB-DUP-004"/>
    <s v="SYN-0056"/>
    <s v="yes"/>
    <s v="1.0.0"/>
    <s v="ROUND_2"/>
    <d v="2025-05-07T00:00:00"/>
    <d v="2025-03-17T00:00:00"/>
    <s v="SOUTH"/>
    <s v="S03"/>
    <s v="ENUM_05"/>
    <s v="yes"/>
    <s v="25_34"/>
    <s v="man"/>
    <n v="6"/>
    <s v="no"/>
    <x v="1"/>
    <m/>
    <s v=""/>
    <m/>
    <m/>
    <m/>
    <s v=""/>
    <n v="5"/>
    <s v="no"/>
    <s v=""/>
    <s v=""/>
    <n v="24"/>
    <x v="4"/>
    <s v="Round 2"/>
    <s v="UNMAPPED"/>
    <s v="UNMAPPED"/>
  </r>
  <r>
    <s v="SUB-0336"/>
    <s v="SYN-0336"/>
    <s v="yes"/>
    <s v="1.0.0"/>
    <s v="ROUND_1"/>
    <d v="2025-09-19T00:00:00"/>
    <d v="2025-07-06T00:00:00"/>
    <s v="NORTH"/>
    <s v="N01"/>
    <s v="ENUM_04"/>
    <s v="yes"/>
    <s v="18_24"/>
    <s v="woman"/>
    <n v="3"/>
    <s v="no"/>
    <x v="1"/>
    <m/>
    <s v=""/>
    <m/>
    <m/>
    <m/>
    <s v=""/>
    <n v="4"/>
    <s v="yes"/>
    <s v="radio"/>
    <s v=""/>
    <n v="21"/>
    <x v="0"/>
    <s v="Round 1"/>
    <s v="UNMAPPED"/>
    <s v="Radio"/>
  </r>
  <r>
    <s v="SUB-0018"/>
    <s v="SYN-0018"/>
    <s v="yes"/>
    <s v="1.0.0"/>
    <s v="ROUND_2"/>
    <d v="2025-09-23T00:00:00"/>
    <d v="2025-08-05T00:00:00"/>
    <s v="SOUTH"/>
    <s v="S01"/>
    <s v="ENUM_07"/>
    <s v="yes"/>
    <s v="25_34"/>
    <s v="woman"/>
    <n v="7"/>
    <s v="yes"/>
    <x v="0"/>
    <d v="2025-09-14T00:00:00"/>
    <s v="financial_skills"/>
    <n v="4"/>
    <n v="3"/>
    <n v="4"/>
    <s v="yes"/>
    <n v="2"/>
    <s v="no"/>
    <s v=""/>
    <s v=""/>
    <n v="8.8000000000000007"/>
    <x v="4"/>
    <s v="Round 2"/>
    <s v="Financial skills"/>
    <s v="UNMAPPED"/>
  </r>
  <r>
    <s v="SUB-0065"/>
    <s v="SYN-0065"/>
    <s v="yes"/>
    <s v="1.0.0"/>
    <s v="ROUND_1"/>
    <d v="2025-05-20T00:00:00"/>
    <d v="2024-12-25T00:00:00"/>
    <s v="NORTH"/>
    <s v="N03"/>
    <s v="ENUM_01"/>
    <s v="yes"/>
    <s v="45_54"/>
    <s v="woman"/>
    <n v="6"/>
    <s v="no"/>
    <x v="0"/>
    <d v="2025-03-27T00:00:00"/>
    <s v="planning"/>
    <n v="5"/>
    <n v="2"/>
    <n v="4"/>
    <s v="no"/>
    <n v="2"/>
    <s v="yes"/>
    <s v="printed_material"/>
    <s v=""/>
    <n v="13.1"/>
    <x v="0"/>
    <s v="Round 1"/>
    <s v="Planning"/>
    <s v="Printed material"/>
  </r>
  <r>
    <s v="SUB-0225"/>
    <s v="SYN-0225"/>
    <s v="yes"/>
    <s v="1.0.0"/>
    <s v="ROUND_2"/>
    <d v="2025-04-04T00:00:00"/>
    <d v="2024-11-15T00:00:00"/>
    <s v="SOUTH"/>
    <s v="S02"/>
    <s v="ENUM_07"/>
    <s v="yes"/>
    <s v="25_34"/>
    <s v="woman"/>
    <n v="6"/>
    <s v="no"/>
    <x v="1"/>
    <m/>
    <s v=""/>
    <m/>
    <m/>
    <m/>
    <s v=""/>
    <n v="3"/>
    <s v="no"/>
    <s v=""/>
    <s v=""/>
    <n v="17.7"/>
    <x v="4"/>
    <s v="Round 2"/>
    <s v="UNMAPPED"/>
    <s v="UNMAPPED"/>
  </r>
  <r>
    <s v="SUB-0335"/>
    <s v="SYN-0335"/>
    <s v="yes"/>
    <s v="1.0.0"/>
    <s v="ROUND_1"/>
    <d v="2025-08-18T00:00:00"/>
    <d v="2025-06-16T00:00:00"/>
    <s v="EAST"/>
    <s v="E02"/>
    <s v="ENUM_02"/>
    <s v="yes"/>
    <s v="35_44"/>
    <s v="woman"/>
    <n v="5"/>
    <s v="no"/>
    <x v="0"/>
    <d v="2025-08-15T00:00:00"/>
    <s v="digital_skills"/>
    <n v="4"/>
    <n v="4"/>
    <n v="4"/>
    <s v="yes"/>
    <n v="3"/>
    <s v="no"/>
    <s v=""/>
    <s v=""/>
    <n v="31.6"/>
    <x v="2"/>
    <s v="Round 1"/>
    <s v="Digital skills"/>
    <s v="UNMAPPED"/>
  </r>
  <r>
    <s v="SUB-0300"/>
    <s v="SYN-0300"/>
    <s v="yes"/>
    <s v="1.0.0"/>
    <s v="ROUND_1"/>
    <d v="2025-07-25T00:00:00"/>
    <d v="2025-03-24T00:00:00"/>
    <s v="EAST"/>
    <s v="E03"/>
    <s v="ENUM_08"/>
    <s v="yes"/>
    <s v="35_44"/>
    <s v="man"/>
    <n v="4"/>
    <s v="no"/>
    <x v="0"/>
    <d v="2025-07-07T00:00:00"/>
    <s v="planning"/>
    <n v="4"/>
    <n v="3"/>
    <n v="5"/>
    <s v="yes"/>
    <n v="3"/>
    <s v="yes"/>
    <s v="printed_material"/>
    <s v=""/>
    <n v="29.2"/>
    <x v="2"/>
    <s v="Round 1"/>
    <s v="Planning"/>
    <s v="Printed material"/>
  </r>
  <r>
    <s v="SUB-0394"/>
    <s v="SYN-0394"/>
    <s v="yes"/>
    <s v="1.0.0"/>
    <s v="ROUND_1"/>
    <d v="2025-04-07T00:00:00"/>
    <d v="2024-12-10T00:00:00"/>
    <s v="SOUTH"/>
    <s v="S02"/>
    <s v="ENUM_05"/>
    <s v="yes"/>
    <s v="45_54"/>
    <s v="woman"/>
    <n v="5"/>
    <s v="no"/>
    <x v="1"/>
    <m/>
    <s v=""/>
    <m/>
    <m/>
    <m/>
    <s v=""/>
    <n v="4"/>
    <s v="yes"/>
    <s v="printed_material"/>
    <s v=""/>
    <n v="16.399999999999999"/>
    <x v="4"/>
    <s v="Round 1"/>
    <s v="UNMAPPED"/>
    <s v="Printed material"/>
  </r>
  <r>
    <s v="SUB-0232"/>
    <s v="SYN-0232"/>
    <s v="yes"/>
    <s v="1.0.0"/>
    <s v="ROUND_2"/>
    <d v="2025-05-19T00:00:00"/>
    <d v="2025-01-26T00:00:00"/>
    <s v="EAST"/>
    <s v="E01"/>
    <s v="ENUM_07"/>
    <s v="yes"/>
    <s v="45_54"/>
    <s v="man"/>
    <n v="3"/>
    <s v="no"/>
    <x v="1"/>
    <m/>
    <s v=""/>
    <m/>
    <m/>
    <m/>
    <s v=""/>
    <n v="5"/>
    <s v="no"/>
    <s v=""/>
    <s v=""/>
    <n v="21"/>
    <x v="2"/>
    <s v="Round 2"/>
    <s v="UNMAPPED"/>
    <s v="UNMAPPED"/>
  </r>
  <r>
    <s v="SUB-0321"/>
    <s v="SYN-0321"/>
    <s v="yes"/>
    <s v="1.0.0"/>
    <s v="ROUND_1"/>
    <d v="2025-05-08T00:00:00"/>
    <d v="2025-03-27T00:00:00"/>
    <s v="EAST"/>
    <s v="E02"/>
    <s v="ENUM_05"/>
    <s v="yes"/>
    <s v="18_24"/>
    <s v="woman"/>
    <n v="3"/>
    <s v="no"/>
    <x v="0"/>
    <d v="2025-04-22T00:00:00"/>
    <s v="planning"/>
    <n v="3"/>
    <n v="4"/>
    <n v="5"/>
    <s v="no"/>
    <n v="4"/>
    <s v="yes"/>
    <s v="printed_material"/>
    <s v="The practical examples made the sessions easier to understand."/>
    <n v="19.899999999999999"/>
    <x v="2"/>
    <s v="Round 1"/>
    <s v="Planning"/>
    <s v="Printed material"/>
  </r>
  <r>
    <s v="SUB-0371"/>
    <s v="SYN-0371"/>
    <s v="yes"/>
    <s v="1.0.0"/>
    <s v="ROUND_2"/>
    <d v="2025-05-28T00:00:00"/>
    <d v="2025-04-18T00:00:00"/>
    <s v="WEST"/>
    <s v="W02"/>
    <s v="ENUM_08"/>
    <s v="yes"/>
    <s v="35_44"/>
    <s v="man"/>
    <n v="7"/>
    <s v="no"/>
    <x v="0"/>
    <d v="2025-05-25T00:00:00"/>
    <s v="planning"/>
    <n v="5"/>
    <n v="3"/>
    <n v="5"/>
    <s v="no"/>
    <n v="3"/>
    <s v="no"/>
    <s v=""/>
    <s v=""/>
    <n v="9.3000000000000007"/>
    <x v="1"/>
    <s v="Round 2"/>
    <s v="Planning"/>
    <s v="UNMAPPED"/>
  </r>
  <r>
    <s v="SUB-0104"/>
    <s v="SYN-0104"/>
    <s v="yes"/>
    <s v="1.0.0"/>
    <s v="ROUND_1"/>
    <d v="2025-07-06T00:00:00"/>
    <d v="2025-06-06T00:00:00"/>
    <s v="SOUTH"/>
    <s v="S01"/>
    <s v="ENUM_05"/>
    <s v="yes"/>
    <s v="25_34"/>
    <s v="woman"/>
    <n v="7"/>
    <s v="no"/>
    <x v="1"/>
    <m/>
    <s v=""/>
    <m/>
    <m/>
    <m/>
    <s v=""/>
    <n v="3"/>
    <s v="no"/>
    <s v=""/>
    <s v=""/>
    <n v="15.4"/>
    <x v="4"/>
    <s v="Round 1"/>
    <s v="UNMAPPED"/>
    <s v="UNMAPPED"/>
  </r>
  <r>
    <s v="SUB-0347"/>
    <s v="SYN-0347"/>
    <s v="yes"/>
    <s v="1.0.0"/>
    <s v="ROUND_1"/>
    <d v="2025-05-25T00:00:00"/>
    <d v="2025-01-23T00:00:00"/>
    <s v="EAST"/>
    <s v="E02"/>
    <s v="ENUM_08"/>
    <s v="yes"/>
    <s v="18_24"/>
    <s v="man"/>
    <n v="6"/>
    <s v="no"/>
    <x v="0"/>
    <d v="2025-04-09T00:00:00"/>
    <s v="financial_skills"/>
    <n v="5"/>
    <n v="3"/>
    <n v="4"/>
    <s v="yes"/>
    <n v="3"/>
    <s v="no"/>
    <s v=""/>
    <s v="The practical examples made the sessions easier to understand."/>
    <n v="18.399999999999999"/>
    <x v="2"/>
    <s v="Round 1"/>
    <s v="Financial skills"/>
    <s v="UNMAPPED"/>
  </r>
  <r>
    <s v="SUB-0377"/>
    <s v="SYN-0377"/>
    <s v="yes"/>
    <s v="1.0.0"/>
    <s v="ROUND_2"/>
    <d v="2025-07-08T00:00:00"/>
    <d v="2025-04-26T00:00:00"/>
    <s v="EAST"/>
    <s v="E02"/>
    <s v="ENUM_03"/>
    <s v="yes"/>
    <s v="55_plus"/>
    <s v="woman"/>
    <n v="2"/>
    <s v="no"/>
    <x v="0"/>
    <d v="2025-05-26T00:00:00"/>
    <s v="digital_skills"/>
    <n v="5"/>
    <n v="4"/>
    <n v="4"/>
    <s v="yes"/>
    <n v="3"/>
    <s v="no"/>
    <s v=""/>
    <s v=""/>
    <n v="23.4"/>
    <x v="2"/>
    <s v="Round 2"/>
    <s v="Digital skills"/>
    <s v="UNMAPPED"/>
  </r>
  <r>
    <s v="SUB-0361"/>
    <s v="SYN-0361"/>
    <s v="yes"/>
    <s v="1.0.0"/>
    <s v="ROUND_2"/>
    <d v="2025-06-14T00:00:00"/>
    <d v="2025-01-18T00:00:00"/>
    <s v="SOUTH"/>
    <s v="S03"/>
    <s v="ENUM_01"/>
    <s v="yes"/>
    <s v="45_54"/>
    <s v="man"/>
    <n v="9"/>
    <s v="no"/>
    <x v="1"/>
    <m/>
    <s v=""/>
    <m/>
    <m/>
    <m/>
    <s v=""/>
    <n v="4"/>
    <s v="no"/>
    <s v=""/>
    <s v=""/>
    <n v="20.7"/>
    <x v="4"/>
    <s v="Round 2"/>
    <s v="UNMAPPED"/>
    <s v="UNMAPPED"/>
  </r>
  <r>
    <s v="SUB-0003"/>
    <s v="SYN-0003"/>
    <s v="yes"/>
    <s v="1.0.0"/>
    <s v="ROUND_1"/>
    <d v="2025-08-04T00:00:00"/>
    <d v="2025-03-24T00:00:00"/>
    <s v="NORTH"/>
    <s v="N01"/>
    <s v="ENUM_06"/>
    <s v="yes"/>
    <s v="25_34"/>
    <s v="man"/>
    <n v="4"/>
    <s v="yes"/>
    <x v="1"/>
    <m/>
    <s v=""/>
    <m/>
    <m/>
    <m/>
    <s v=""/>
    <n v="5"/>
    <s v="no"/>
    <s v=""/>
    <s v=""/>
    <n v="16.600000000000001"/>
    <x v="0"/>
    <s v="Round 1"/>
    <s v="UNMAPPED"/>
    <s v="UNMAPPED"/>
  </r>
  <r>
    <s v="SUB-0378"/>
    <s v="SYN-0378"/>
    <s v="yes"/>
    <s v="1.0.0"/>
    <s v="ROUND_2"/>
    <d v="2025-05-26T00:00:00"/>
    <d v="2025-03-03T00:00:00"/>
    <s v="WEST"/>
    <s v="W01"/>
    <s v="ENUM_04"/>
    <s v="yes"/>
    <s v="55_plus"/>
    <s v="woman"/>
    <n v="4"/>
    <s v="no"/>
    <x v="0"/>
    <d v="2025-04-09T00:00:00"/>
    <s v="planning"/>
    <n v="5"/>
    <n v="1"/>
    <n v="1"/>
    <s v="yes"/>
    <n v="4"/>
    <s v="yes"/>
    <s v="community_meeting"/>
    <s v=""/>
    <n v="22"/>
    <x v="1"/>
    <s v="Round 2"/>
    <s v="Planning"/>
    <s v="Community meeting"/>
  </r>
  <r>
    <s v="SUB-0072"/>
    <s v="SYN-0072"/>
    <s v="yes"/>
    <s v="1.0.0"/>
    <s v="ROUND_1"/>
    <d v="2025-05-21T00:00:00"/>
    <d v="2025-04-03T00:00:00"/>
    <s v="SOUTH"/>
    <s v="S02"/>
    <s v="ENUM_04"/>
    <s v="yes"/>
    <s v="35_44"/>
    <s v="woman"/>
    <n v="4"/>
    <s v="no"/>
    <x v="1"/>
    <m/>
    <s v=""/>
    <m/>
    <m/>
    <m/>
    <s v=""/>
    <n v="3"/>
    <s v="no"/>
    <s v=""/>
    <s v=""/>
    <n v="24"/>
    <x v="4"/>
    <s v="Round 1"/>
    <s v="UNMAPPED"/>
    <s v="UNMAPPED"/>
  </r>
  <r>
    <s v="SUB-0383"/>
    <s v="SYN-0383"/>
    <s v="yes"/>
    <s v="1.0.0"/>
    <s v="ROUND_1"/>
    <d v="2025-08-03T00:00:00"/>
    <d v="2025-06-03T00:00:00"/>
    <s v="SOUTH"/>
    <s v="S01"/>
    <s v="ENUM_08"/>
    <s v="yes"/>
    <s v="45_54"/>
    <s v="man"/>
    <n v="6"/>
    <s v="no"/>
    <x v="0"/>
    <d v="2025-06-23T00:00:00"/>
    <s v="digital_skills"/>
    <n v="5"/>
    <n v="1"/>
    <n v="1"/>
    <s v="no"/>
    <n v="1"/>
    <s v="no"/>
    <s v=""/>
    <s v=""/>
    <n v="26.5"/>
    <x v="4"/>
    <s v="Round 1"/>
    <s v="Digital skills"/>
    <s v="UNMAPPED"/>
  </r>
  <r>
    <s v="SUB-0035"/>
    <s v="SYN-0035"/>
    <s v="yes"/>
    <s v="1.0.0"/>
    <s v="ROUND_2"/>
    <d v="2025-04-02T00:00:00"/>
    <d v="2024-11-24T00:00:00"/>
    <s v="NORTH"/>
    <s v="N02"/>
    <s v="ENUM_01"/>
    <s v="yes"/>
    <s v="45_54"/>
    <s v="man"/>
    <n v="4"/>
    <s v="no"/>
    <x v="0"/>
    <d v="2025-01-17T00:00:00"/>
    <s v="financial_skills"/>
    <n v="4"/>
    <n v="2"/>
    <n v="2"/>
    <s v="no"/>
    <n v="1"/>
    <s v="no"/>
    <s v=""/>
    <s v=""/>
    <n v="10.3"/>
    <x v="0"/>
    <s v="Round 2"/>
    <s v="Financial skills"/>
    <s v="UNMAPPED"/>
  </r>
  <r>
    <s v="SUB-0376"/>
    <s v="SYN-0376"/>
    <s v="yes"/>
    <s v="1.0.0"/>
    <s v="ROUND_2"/>
    <d v="2025-07-03T00:00:00"/>
    <d v="2025-03-27T00:00:00"/>
    <s v="SOUTH"/>
    <s v="S01"/>
    <s v="ENUM_08"/>
    <s v="yes"/>
    <s v="45_54"/>
    <s v="man"/>
    <n v="5"/>
    <s v="yes"/>
    <x v="0"/>
    <d v="2025-05-02T00:00:00"/>
    <s v="digital_skills"/>
    <n v="4"/>
    <n v="1"/>
    <n v="2"/>
    <s v="no"/>
    <n v="2"/>
    <s v="no"/>
    <s v=""/>
    <s v=""/>
    <n v="18.600000000000001"/>
    <x v="4"/>
    <s v="Round 2"/>
    <s v="Digital skills"/>
    <s v="UNMAPPED"/>
  </r>
  <r>
    <s v="SUB-0174"/>
    <s v="SYN-0174"/>
    <s v="yes"/>
    <s v="1.0.0"/>
    <s v="ROUND_1"/>
    <d v="2025-08-30T00:00:00"/>
    <d v="2025-04-24T00:00:00"/>
    <s v="WEST"/>
    <s v="W03"/>
    <s v="ENUM_03"/>
    <s v="yes"/>
    <s v="35_44"/>
    <s v="man"/>
    <n v="8"/>
    <s v="no"/>
    <x v="0"/>
    <d v="2025-04-28T00:00:00"/>
    <s v="financial_skills"/>
    <n v="5"/>
    <n v="1"/>
    <n v="3"/>
    <s v="yes"/>
    <n v="4"/>
    <s v="no"/>
    <s v=""/>
    <s v=""/>
    <n v="26.9"/>
    <x v="1"/>
    <s v="Round 1"/>
    <s v="Financial skills"/>
    <s v="UNMAPPED"/>
  </r>
  <r>
    <s v="SUB-0234"/>
    <s v="SYN-0234"/>
    <s v="yes"/>
    <s v="1.0.0"/>
    <s v="ROUND_2"/>
    <d v="2025-04-22T00:00:00"/>
    <d v="2025-02-20T00:00:00"/>
    <s v="EAST"/>
    <s v="E01"/>
    <s v="ENUM_01"/>
    <s v="yes"/>
    <s v="35_44"/>
    <s v="man"/>
    <n v="7"/>
    <s v="no"/>
    <x v="0"/>
    <d v="2025-04-11T00:00:00"/>
    <s v="leadership"/>
    <n v="3"/>
    <n v="2"/>
    <n v="3"/>
    <s v="yes"/>
    <n v="5"/>
    <s v="no"/>
    <s v=""/>
    <s v="I would like more examples about budgeting and record keeping."/>
    <n v="13.1"/>
    <x v="2"/>
    <s v="Round 2"/>
    <s v="Leadership"/>
    <s v="UNMAPPED"/>
  </r>
  <r>
    <s v="SUB-DUP-007"/>
    <s v="SYN-0395"/>
    <s v="yes"/>
    <s v="1.0.0"/>
    <s v="ROUND_2"/>
    <d v="2025-06-03T00:00:00"/>
    <d v="2025-04-28T00:00:00"/>
    <s v="EAST"/>
    <s v="E03"/>
    <s v="ENUM_01"/>
    <s v="yes"/>
    <s v="35_44"/>
    <s v="woman"/>
    <n v="9"/>
    <s v="no"/>
    <x v="0"/>
    <d v="2025-06-03T00:00:00"/>
    <s v="digital_skills"/>
    <n v="4"/>
    <n v="4"/>
    <n v="5"/>
    <s v="yes"/>
    <n v="3"/>
    <s v="no"/>
    <s v=""/>
    <s v=""/>
    <n v="23.1"/>
    <x v="2"/>
    <s v="Round 2"/>
    <s v="Digital skills"/>
    <s v="UNMAPPED"/>
  </r>
  <r>
    <s v="SUB-0356"/>
    <s v="SYN-0356"/>
    <s v="yes"/>
    <s v="1.0.0"/>
    <s v="ROUND_2"/>
    <d v="2025-08-29T00:00:00"/>
    <d v="2025-06-24T00:00:00"/>
    <s v="SOUTH"/>
    <s v="S02"/>
    <s v="ENUM_03"/>
    <s v="yes"/>
    <s v="25_34"/>
    <s v="man"/>
    <n v="7"/>
    <s v="no"/>
    <x v="1"/>
    <m/>
    <s v=""/>
    <m/>
    <m/>
    <m/>
    <s v=""/>
    <n v="4"/>
    <s v="no"/>
    <s v=""/>
    <s v=""/>
    <n v="19.899999999999999"/>
    <x v="4"/>
    <s v="Round 2"/>
    <s v="UNMAPPED"/>
    <s v="UNMAPPED"/>
  </r>
  <r>
    <s v="SUB-0369"/>
    <s v="SYN-0369"/>
    <s v="yes"/>
    <s v="1.0.0"/>
    <s v="ROUND_2"/>
    <d v="2026-01-15T00:00:00"/>
    <d v="2025-02-11T00:00:00"/>
    <s v="EAST"/>
    <s v="E02"/>
    <s v="ENUM_06"/>
    <s v="yes"/>
    <s v="25_34"/>
    <s v="woman"/>
    <n v="6"/>
    <s v="no"/>
    <x v="0"/>
    <d v="2025-02-18T00:00:00"/>
    <s v="financial_skills"/>
    <n v="4"/>
    <n v="2"/>
    <n v="2"/>
    <s v="yes"/>
    <n v="5"/>
    <s v="yes"/>
    <s v="printed_material"/>
    <s v=""/>
    <n v="21.4"/>
    <x v="2"/>
    <s v="Round 2"/>
    <s v="Financial skills"/>
    <s v="Printed material"/>
  </r>
  <r>
    <s v="SUB-0214"/>
    <s v="SYN-0214"/>
    <s v="yes"/>
    <s v="1.0.0"/>
    <s v="ROUND_2"/>
    <d v="2025-04-01T00:00:00"/>
    <d v="2025-02-19T00:00:00"/>
    <s v="EAST"/>
    <s v="E02"/>
    <s v="ENUM_08"/>
    <s v="yes"/>
    <s v="18_24"/>
    <s v="woman"/>
    <n v="8"/>
    <s v="no"/>
    <x v="0"/>
    <d v="2025-03-07T00:00:00"/>
    <s v="planning"/>
    <n v="4"/>
    <n v="2"/>
    <n v="2"/>
    <s v="yes"/>
    <n v="2"/>
    <s v="no"/>
    <s v=""/>
    <s v=""/>
    <n v="13.6"/>
    <x v="2"/>
    <s v="Round 2"/>
    <s v="Planning"/>
    <s v="UNMAPPED"/>
  </r>
  <r>
    <s v="SUB-0329"/>
    <s v="SYN-0329"/>
    <s v="yes"/>
    <s v="1.0.0"/>
    <s v="ROUND_1"/>
    <d v="2025-09-27T00:00:00"/>
    <d v="2025-08-20T00:00:00"/>
    <s v="NORTH"/>
    <s v="N01"/>
    <s v="ENUM_06"/>
    <s v="yes"/>
    <s v="55_plus"/>
    <s v="man"/>
    <n v="8"/>
    <s v="no"/>
    <x v="0"/>
    <d v="2025-09-02T00:00:00"/>
    <s v="financial_skills"/>
    <n v="4"/>
    <n v="4"/>
    <n v="4"/>
    <s v="no"/>
    <n v="4"/>
    <s v="yes"/>
    <s v="printed_material"/>
    <s v=""/>
    <n v="1"/>
    <x v="0"/>
    <s v="Round 1"/>
    <s v="Financial skills"/>
    <s v="Printed material"/>
  </r>
  <r>
    <s v="SUB-0069"/>
    <s v="SYN-0069"/>
    <s v="yes"/>
    <s v="1.0.0"/>
    <s v="ROUND_1"/>
    <d v="2025-07-29T00:00:00"/>
    <d v="2025-03-19T00:00:00"/>
    <s v="EAST"/>
    <s v="E02"/>
    <s v="ENUM_99"/>
    <s v="yes"/>
    <s v="55_plus"/>
    <s v="man"/>
    <n v="4"/>
    <s v="no"/>
    <x v="0"/>
    <d v="2025-07-25T00:00:00"/>
    <s v="leadership"/>
    <n v="4"/>
    <n v="3"/>
    <n v="3"/>
    <s v="yes"/>
    <n v="3"/>
    <s v="no"/>
    <s v=""/>
    <s v="Printed materials would help people who cannot attend every session."/>
    <n v="6.6"/>
    <x v="2"/>
    <s v="Round 1"/>
    <s v="Leadership"/>
    <s v="UNMAPPED"/>
  </r>
  <r>
    <s v="SUB-0337"/>
    <s v="SYN-0337"/>
    <s v="yes"/>
    <s v="1.0.0"/>
    <s v="ROUND_2"/>
    <d v="2025-06-17T00:00:00"/>
    <d v="2025-01-26T00:00:00"/>
    <s v="NORTH"/>
    <s v="N02"/>
    <s v="ENUM_07"/>
    <s v="yes"/>
    <s v="45_54"/>
    <s v="woman"/>
    <n v="5"/>
    <s v="no"/>
    <x v="0"/>
    <d v="2025-05-10T00:00:00"/>
    <s v="planning"/>
    <n v="3"/>
    <n v="2"/>
    <n v="3"/>
    <s v="no"/>
    <n v="4"/>
    <s v="no"/>
    <s v=""/>
    <s v="Travel to the meeting location was difficult during bad weather."/>
    <n v="21.6"/>
    <x v="0"/>
    <s v="Round 2"/>
    <s v="Planning"/>
    <s v="UNMAPPED"/>
  </r>
  <r>
    <s v="SUB-0113"/>
    <s v="SYN-0113"/>
    <s v="yes"/>
    <s v="1.0.0"/>
    <s v="ROUND_2"/>
    <d v="2025-09-12T00:00:00"/>
    <d v="2025-07-28T00:00:00"/>
    <s v="NORTH"/>
    <s v="N03"/>
    <s v="ENUM_05"/>
    <s v="yes"/>
    <s v="35_44"/>
    <s v="non_binary"/>
    <n v="5"/>
    <s v="no"/>
    <x v="0"/>
    <d v="2025-08-28T00:00:00"/>
    <s v="leadership"/>
    <n v="4"/>
    <n v="3"/>
    <n v="5"/>
    <s v="no"/>
    <n v="3"/>
    <s v="no"/>
    <s v=""/>
    <s v="Shorter sessions on more days would be easier to attend."/>
    <n v="22.4"/>
    <x v="0"/>
    <s v="Round 2"/>
    <s v="Leadership"/>
    <s v="UNMAPPED"/>
  </r>
  <r>
    <s v="SUB-0393"/>
    <s v="SYN-0393"/>
    <s v="yes"/>
    <s v="1.0.0"/>
    <s v="ROUND_1"/>
    <d v="2025-07-25T00:00:00"/>
    <d v="2025-04-08T00:00:00"/>
    <s v="EAST"/>
    <s v="E02"/>
    <s v="ENUM_05"/>
    <s v="yes"/>
    <s v="25_34"/>
    <s v="man"/>
    <n v="6"/>
    <s v="yes"/>
    <x v="0"/>
    <d v="2025-05-29T00:00:00"/>
    <s v="financial_skills"/>
    <n v="5"/>
    <n v="3"/>
    <n v="4"/>
    <s v="yes"/>
    <n v="2"/>
    <s v="no"/>
    <s v=""/>
    <s v=""/>
    <n v="6.8"/>
    <x v="2"/>
    <s v="Round 1"/>
    <s v="Financial skills"/>
    <s v="UNMAPPED"/>
  </r>
  <r>
    <s v="SUB-0175"/>
    <s v="SYN-0175"/>
    <s v="yes"/>
    <s v="1.0.0"/>
    <s v="ROUND_1"/>
    <d v="2025-04-27T00:00:00"/>
    <d v="2025-03-02T00:00:00"/>
    <s v="EAST"/>
    <s v="E03"/>
    <s v="ENUM_06"/>
    <s v="yes"/>
    <s v="45_54"/>
    <s v="woman"/>
    <n v="3"/>
    <s v="no"/>
    <x v="0"/>
    <d v="2025-03-15T00:00:00"/>
    <s v="digital_skills"/>
    <n v="5"/>
    <n v="1"/>
    <n v="2"/>
    <s v="no"/>
    <n v="3"/>
    <s v="no"/>
    <s v=""/>
    <s v=""/>
    <n v="16.5"/>
    <x v="2"/>
    <s v="Round 1"/>
    <s v="Digital skills"/>
    <s v="UNMAPPED"/>
  </r>
  <r>
    <s v="SUB-0171"/>
    <s v="SYN-0171"/>
    <s v="yes"/>
    <s v="1.0.0"/>
    <s v="ROUND_1"/>
    <d v="2025-05-05T00:00:00"/>
    <d v="2025-01-27T00:00:00"/>
    <s v="NORTH"/>
    <s v="N01"/>
    <s v="ENUM_04"/>
    <s v="yes"/>
    <s v="25_34"/>
    <s v="man"/>
    <n v="2"/>
    <s v="no"/>
    <x v="1"/>
    <d v="2025-05-05T00:00:00"/>
    <s v="digital_skills"/>
    <n v="4"/>
    <n v="2"/>
    <n v="4"/>
    <s v="yes"/>
    <n v="3"/>
    <s v="no"/>
    <s v=""/>
    <s v=""/>
    <n v="17.3"/>
    <x v="0"/>
    <s v="Round 1"/>
    <s v="Digital skills"/>
    <s v="UNMAPPED"/>
  </r>
  <r>
    <s v="SUB-0030"/>
    <s v="SYN-0030"/>
    <s v="yes"/>
    <s v="1.0.0"/>
    <s v="ROUND_2"/>
    <d v="2025-06-07T00:00:00"/>
    <d v="2025-02-12T00:00:00"/>
    <s v="NORTH"/>
    <s v="N03"/>
    <s v="ENUM_08"/>
    <s v="yes"/>
    <s v="35_44"/>
    <s v="prefer_not"/>
    <n v="6"/>
    <s v="no"/>
    <x v="0"/>
    <d v="2025-02-23T00:00:00"/>
    <s v="financial_skills"/>
    <n v="4"/>
    <n v="3"/>
    <n v="3"/>
    <s v="yes"/>
    <n v="4"/>
    <s v="no"/>
    <s v=""/>
    <s v=""/>
    <n v="22.8"/>
    <x v="0"/>
    <s v="Round 2"/>
    <s v="Financial skills"/>
    <s v="UNMAPPED"/>
  </r>
  <r>
    <s v="SUB-0005"/>
    <s v="SYN-0005"/>
    <s v="yes"/>
    <s v="1.0.0"/>
    <s v="ROUND_2"/>
    <d v="2025-07-04T00:00:00"/>
    <d v="2025-03-17T00:00:00"/>
    <s v="EAST"/>
    <s v="E02"/>
    <s v="ENUM_06"/>
    <s v="yes"/>
    <s v="55_plus"/>
    <s v="man"/>
    <n v="3"/>
    <s v="no"/>
    <x v="0"/>
    <d v="2025-04-22T00:00:00"/>
    <s v="financial_skills"/>
    <n v="3"/>
    <n v="2"/>
    <n v="3"/>
    <s v="no"/>
    <n v="3"/>
    <s v="no"/>
    <s v=""/>
    <s v=""/>
    <n v="14.8"/>
    <x v="2"/>
    <s v="Round 2"/>
    <s v="Financial skills"/>
    <s v="UNMAPPED"/>
  </r>
  <r>
    <s v="SUB-0189"/>
    <s v="SYN-0189"/>
    <s v="yes"/>
    <s v="1.0.0"/>
    <s v="ROUND_2"/>
    <d v="2025-08-03T00:00:00"/>
    <d v="2025-05-06T00:00:00"/>
    <s v="SOUTH"/>
    <s v="S03"/>
    <s v="ENUM_07"/>
    <s v="yes"/>
    <s v="25_34"/>
    <s v="woman"/>
    <n v="4"/>
    <s v="no"/>
    <x v="0"/>
    <d v="2025-06-12T00:00:00"/>
    <s v="digital_skills"/>
    <n v="4"/>
    <n v="1"/>
    <n v="2"/>
    <s v="yes"/>
    <n v="4"/>
    <s v="no"/>
    <s v=""/>
    <s v=""/>
    <n v="13.6"/>
    <x v="4"/>
    <s v="Round 2"/>
    <s v="Digital skills"/>
    <s v="UNMAPPED"/>
  </r>
  <r>
    <s v="SUB-0367"/>
    <s v="SYN-0367"/>
    <s v="yes"/>
    <s v="1.0.0"/>
    <s v="ROUND_1"/>
    <d v="2025-08-07T00:00:00"/>
    <d v="2025-04-28T00:00:00"/>
    <s v="SOUTH"/>
    <s v="S02"/>
    <s v="ENUM_07"/>
    <s v="yes"/>
    <s v="35_44"/>
    <s v="woman"/>
    <n v="8"/>
    <s v="no"/>
    <x v="0"/>
    <d v="2025-05-19T00:00:00"/>
    <s v="planning"/>
    <n v="3"/>
    <n v="1"/>
    <n v="2"/>
    <s v="yes"/>
    <n v="3"/>
    <s v="no"/>
    <s v=""/>
    <s v=""/>
    <n v="25.6"/>
    <x v="4"/>
    <s v="Round 1"/>
    <s v="Planning"/>
    <s v="UNMAPPED"/>
  </r>
  <r>
    <s v="SUB-0410"/>
    <s v="SYN-0410"/>
    <s v="yes"/>
    <s v="1.0.0"/>
    <s v="ROUND_2"/>
    <d v="2025-06-10T00:00:00"/>
    <d v="2025-04-08T00:00:00"/>
    <s v="EAST"/>
    <s v="W01"/>
    <s v="ENUM_02"/>
    <s v="yes"/>
    <s v="25_34"/>
    <s v="man"/>
    <n v="5"/>
    <s v="yes"/>
    <x v="0"/>
    <d v="2025-05-14T00:00:00"/>
    <s v="digital_skills"/>
    <n v="5"/>
    <n v="2"/>
    <n v="3"/>
    <s v="no"/>
    <n v="1"/>
    <s v="no"/>
    <s v=""/>
    <s v=""/>
    <n v="5.8"/>
    <x v="2"/>
    <s v="Round 2"/>
    <s v="Digital skills"/>
    <s v="UNMAPPED"/>
  </r>
  <r>
    <s v="SUB-0205"/>
    <s v="SYN-0205"/>
    <s v="yes"/>
    <s v="1.0.0"/>
    <s v="ROUND_1"/>
    <d v="2025-04-03T00:00:00"/>
    <d v="2025-03-02T00:00:00"/>
    <s v="WEST"/>
    <s v="W02"/>
    <s v="ENUM_01"/>
    <s v="yes"/>
    <s v="25_34"/>
    <s v="woman"/>
    <n v="9"/>
    <s v="no"/>
    <x v="0"/>
    <d v="2025-03-09T00:00:00"/>
    <s v="planning"/>
    <n v="4"/>
    <n v="4"/>
    <n v="5"/>
    <s v="yes"/>
    <n v="4"/>
    <s v="no"/>
    <s v=""/>
    <s v=""/>
    <n v="20.399999999999999"/>
    <x v="1"/>
    <s v="Round 1"/>
    <s v="Planning"/>
    <s v="UNMAPPED"/>
  </r>
  <r>
    <s v="SUB-0349"/>
    <s v="SYN-0349"/>
    <s v="yes"/>
    <s v="1.0.0"/>
    <s v=""/>
    <m/>
    <m/>
    <s v=""/>
    <s v=""/>
    <s v=""/>
    <s v="no"/>
    <s v=""/>
    <s v=""/>
    <m/>
    <s v=""/>
    <x v="2"/>
    <m/>
    <s v=""/>
    <m/>
    <m/>
    <m/>
    <s v=""/>
    <m/>
    <s v=""/>
    <s v=""/>
    <s v=""/>
    <m/>
    <x v="3"/>
    <s v="UNMAPPED"/>
    <s v="UNMAPPED"/>
    <s v="UNMAPPED"/>
  </r>
  <r>
    <s v="SUB-0267"/>
    <s v="SYN-0267"/>
    <s v="yes"/>
    <s v="1.0.0"/>
    <s v="ROUND_2"/>
    <d v="2025-06-09T00:00:00"/>
    <d v="2025-02-17T00:00:00"/>
    <s v="NORTH"/>
    <s v="N01"/>
    <s v="ENUM_06"/>
    <s v="yes"/>
    <s v="25_34"/>
    <s v="woman"/>
    <n v="5"/>
    <s v="no"/>
    <x v="0"/>
    <d v="2025-06-06T00:00:00"/>
    <s v="digital_skills"/>
    <n v="2"/>
    <n v="4"/>
    <n v="5"/>
    <s v="yes"/>
    <n v="2"/>
    <s v="yes"/>
    <s v="community_meeting"/>
    <s v=""/>
    <n v="26.9"/>
    <x v="0"/>
    <s v="Round 2"/>
    <s v="Digital skills"/>
    <s v="Community meeting"/>
  </r>
  <r>
    <s v="SUB-0216"/>
    <s v="SYN-0216"/>
    <s v="yes"/>
    <s v="1.0.0"/>
    <s v="ROUND_1"/>
    <d v="2025-04-01T00:00:00"/>
    <d v="2025-02-05T00:00:00"/>
    <s v="EAST"/>
    <s v="W01"/>
    <s v="ENUM_04"/>
    <s v="yes"/>
    <s v="18_24"/>
    <s v="woman"/>
    <n v="7"/>
    <s v="no"/>
    <x v="0"/>
    <d v="2025-03-17T00:00:00"/>
    <s v="digital_skills"/>
    <n v="5"/>
    <n v="1"/>
    <n v="3"/>
    <s v="yes"/>
    <n v="4"/>
    <s v="yes"/>
    <s v="radio"/>
    <s v=""/>
    <n v="23.8"/>
    <x v="2"/>
    <s v="Round 1"/>
    <s v="Digital skills"/>
    <s v="Radio"/>
  </r>
  <r>
    <s v="SUB-0140"/>
    <s v="SYN-0140"/>
    <s v="yes"/>
    <s v="1.0.0"/>
    <s v="ROUND_2"/>
    <d v="2025-09-13T00:00:00"/>
    <d v="2025-05-19T00:00:00"/>
    <s v="SOUTH"/>
    <s v="S01"/>
    <s v="ENUM_01"/>
    <s v="yes"/>
    <s v="18_24"/>
    <s v="man"/>
    <n v="4"/>
    <s v="no"/>
    <x v="0"/>
    <d v="2025-08-06T00:00:00"/>
    <s v="other_invalid"/>
    <n v="5"/>
    <n v="1"/>
    <n v="2"/>
    <s v="no"/>
    <n v="3"/>
    <s v="no"/>
    <s v=""/>
    <s v="The activity should start earlier so participants can travel home safely."/>
    <n v="15.6"/>
    <x v="4"/>
    <s v="Round 2"/>
    <s v="UNMAPPED"/>
    <s v="UNMAPPED"/>
  </r>
  <r>
    <s v="SUB-0024"/>
    <s v="SYN-0024"/>
    <s v="yes"/>
    <s v="1.0.0"/>
    <s v=""/>
    <m/>
    <m/>
    <s v=""/>
    <s v=""/>
    <s v=""/>
    <s v="no"/>
    <s v=""/>
    <s v=""/>
    <m/>
    <s v=""/>
    <x v="2"/>
    <m/>
    <s v=""/>
    <m/>
    <m/>
    <m/>
    <s v=""/>
    <m/>
    <s v=""/>
    <s v=""/>
    <s v=""/>
    <m/>
    <x v="3"/>
    <s v="UNMAPPED"/>
    <s v="UNMAPPED"/>
    <s v="UNMAPPED"/>
  </r>
  <r>
    <s v="SUB-0241"/>
    <s v="SYN-0241"/>
    <s v="yes"/>
    <s v="1.0.0"/>
    <s v="ROUND_1"/>
    <d v="2025-07-07T00:00:00"/>
    <d v="2025-04-02T00:00:00"/>
    <s v="WEST"/>
    <s v="W01"/>
    <s v="ENUM_06"/>
    <s v="yes"/>
    <s v="45_54"/>
    <s v="man"/>
    <n v="4"/>
    <s v="yes"/>
    <x v="0"/>
    <d v="2025-04-23T00:00:00"/>
    <s v="planning"/>
    <n v="5"/>
    <n v="4"/>
    <n v="4"/>
    <s v="no"/>
    <n v="3"/>
    <s v="yes"/>
    <s v="radio"/>
    <s v=""/>
    <n v="27"/>
    <x v="1"/>
    <s v="Round 1"/>
    <s v="Planning"/>
    <s v="Radio"/>
  </r>
  <r>
    <s v="SUB-0292"/>
    <s v="SYN-0292"/>
    <s v="yes"/>
    <s v="1.0.0"/>
    <s v="ROUND_2"/>
    <d v="2025-05-10T00:00:00"/>
    <d v="2024-12-24T00:00:00"/>
    <s v="SOUTH"/>
    <s v="S02"/>
    <s v="ENUM_08"/>
    <s v="yes"/>
    <s v="25_34"/>
    <s v="woman"/>
    <n v="8"/>
    <s v="no"/>
    <x v="1"/>
    <m/>
    <s v=""/>
    <m/>
    <m/>
    <m/>
    <s v=""/>
    <n v="4"/>
    <s v="no"/>
    <s v=""/>
    <s v=""/>
    <n v="8.8000000000000007"/>
    <x v="4"/>
    <s v="Round 2"/>
    <s v="UNMAPPED"/>
    <s v="UNMAPPED"/>
  </r>
  <r>
    <s v="SUB-0037"/>
    <s v="SYN-0037"/>
    <s v="yes"/>
    <s v="1.0.0"/>
    <s v="ROUND_2"/>
    <d v="2025-07-22T00:00:00"/>
    <d v="2025-03-11T00:00:00"/>
    <s v="EAST"/>
    <s v="E02"/>
    <s v="ENUM_07"/>
    <s v="yes"/>
    <s v="18_24"/>
    <s v="woman"/>
    <n v="8"/>
    <s v="no"/>
    <x v="0"/>
    <d v="2025-05-19T00:00:00"/>
    <s v="planning"/>
    <n v="3"/>
    <n v="4"/>
    <n v="5"/>
    <s v="yes"/>
    <n v="4"/>
    <s v="no"/>
    <s v=""/>
    <s v=""/>
    <n v="28"/>
    <x v="2"/>
    <s v="Round 2"/>
    <s v="Planning"/>
    <s v="UNMAPPED"/>
  </r>
  <r>
    <s v="SUB-0215"/>
    <s v="SYN-0215"/>
    <s v="yes"/>
    <s v="1.0.0"/>
    <s v="ROUND_1"/>
    <d v="2025-07-25T00:00:00"/>
    <d v="2025-03-04T00:00:00"/>
    <s v="SOUTH"/>
    <s v="S02"/>
    <s v="ENUM_04"/>
    <s v="yes"/>
    <s v="25_34"/>
    <s v="man"/>
    <n v="7"/>
    <s v="no"/>
    <x v="0"/>
    <d v="2025-07-25T00:00:00"/>
    <s v="planning"/>
    <n v="9"/>
    <n v="2"/>
    <n v="3"/>
    <s v="no"/>
    <n v="1"/>
    <s v="no"/>
    <s v=""/>
    <s v=""/>
    <n v="22"/>
    <x v="4"/>
    <s v="Round 1"/>
    <s v="Planning"/>
    <s v="UNMAPPED"/>
  </r>
  <r>
    <s v="SUB-0201"/>
    <s v="SYN-0201"/>
    <s v="yes"/>
    <s v="1.0.0"/>
    <s v="ROUND_2"/>
    <d v="2025-08-24T00:00:00"/>
    <d v="2025-07-15T00:00:00"/>
    <s v="NORTH"/>
    <s v="N01"/>
    <s v="ENUM_02"/>
    <s v="yes"/>
    <s v="25_34"/>
    <s v="woman"/>
    <n v="1"/>
    <s v="no"/>
    <x v="0"/>
    <d v="2025-08-13T00:00:00"/>
    <s v="leadership"/>
    <n v="5"/>
    <n v="1"/>
    <n v="2"/>
    <s v="yes"/>
    <n v="3"/>
    <s v="no"/>
    <s v=""/>
    <s v=""/>
    <n v="15.4"/>
    <x v="0"/>
    <s v="Round 2"/>
    <s v="Leadership"/>
    <s v="UNMAPPED"/>
  </r>
  <r>
    <s v="SUB-0316"/>
    <s v="SYN-0316"/>
    <s v="yes"/>
    <s v="1.0.0"/>
    <s v="ROUND_1"/>
    <d v="2025-06-14T00:00:00"/>
    <d v="2025-04-05T00:00:00"/>
    <s v="WEST"/>
    <s v="W02"/>
    <s v="ENUM_02"/>
    <s v="yes"/>
    <s v="25_34"/>
    <s v="man"/>
    <n v="8"/>
    <s v="no"/>
    <x v="1"/>
    <m/>
    <s v=""/>
    <m/>
    <m/>
    <m/>
    <s v=""/>
    <n v="3"/>
    <s v="no"/>
    <s v=""/>
    <s v=""/>
    <n v="19.399999999999999"/>
    <x v="1"/>
    <s v="Round 1"/>
    <s v="UNMAPPED"/>
    <s v="UNMAPPED"/>
  </r>
  <r>
    <s v="SUB-0270"/>
    <s v="SYN-0270"/>
    <s v="yes"/>
    <s v="1.0.0"/>
    <s v="ROUND_1"/>
    <d v="2025-05-21T00:00:00"/>
    <d v="2025-01-03T00:00:00"/>
    <s v="EAST"/>
    <s v="E02"/>
    <s v="ENUM_02"/>
    <s v="yes"/>
    <s v="55_plus"/>
    <s v="man"/>
    <n v="5"/>
    <s v="no"/>
    <x v="0"/>
    <d v="2025-02-22T00:00:00"/>
    <s v="planning"/>
    <n v="5"/>
    <n v="3"/>
    <n v="5"/>
    <s v="no"/>
    <n v="4"/>
    <s v="yes"/>
    <s v="printed_material"/>
    <s v=""/>
    <n v="11.3"/>
    <x v="2"/>
    <s v="Round 1"/>
    <s v="Planning"/>
    <s v="Printed material"/>
  </r>
  <r>
    <s v="SUB-0154"/>
    <s v="SYN-0154"/>
    <s v="yes"/>
    <s v="1.0.0"/>
    <s v="ROUND_1"/>
    <d v="2025-08-13T00:00:00"/>
    <d v="2025-05-14T00:00:00"/>
    <s v="NORTH"/>
    <s v="N03"/>
    <s v="ENUM_04"/>
    <s v="yes"/>
    <s v="45_54"/>
    <s v="man"/>
    <n v="5"/>
    <s v="no"/>
    <x v="0"/>
    <d v="2025-07-08T00:00:00"/>
    <s v="digital_skills"/>
    <n v="5"/>
    <n v="4"/>
    <n v="5"/>
    <s v="no"/>
    <n v="3"/>
    <s v="no"/>
    <s v=""/>
    <s v="I would like more examples about budgeting and record keeping."/>
    <n v="18"/>
    <x v="0"/>
    <s v="Round 1"/>
    <s v="Digital skills"/>
    <s v="UNMAPPED"/>
  </r>
  <r>
    <s v="SUB-0026"/>
    <s v="SYN-0026"/>
    <s v="yes"/>
    <s v="1.0.0"/>
    <s v="ROUND_2"/>
    <d v="2025-05-14T00:00:00"/>
    <d v="2025-02-23T00:00:00"/>
    <s v="EAST"/>
    <s v="E01"/>
    <s v="ENUM_02"/>
    <s v="yes"/>
    <s v="35_44"/>
    <s v="man"/>
    <n v="4"/>
    <s v="no"/>
    <x v="0"/>
    <d v="2025-03-03T00:00:00"/>
    <s v="planning"/>
    <n v="4"/>
    <n v="3"/>
    <n v="5"/>
    <s v="yes"/>
    <n v="4"/>
    <s v="no"/>
    <s v=""/>
    <s v="The facilitator explained the topic clearly and respectfully."/>
    <n v="17.399999999999999"/>
    <x v="2"/>
    <s v="Round 2"/>
    <s v="Planning"/>
    <s v="UNMAPPED"/>
  </r>
  <r>
    <s v="SUB-0067"/>
    <s v="SYN-0067"/>
    <s v="yes"/>
    <s v="1.0.0"/>
    <s v="ROUND_2"/>
    <d v="2025-04-17T00:00:00"/>
    <d v="2025-03-07T00:00:00"/>
    <s v="NORTH"/>
    <s v="N02"/>
    <s v="ENUM_01"/>
    <s v="yes"/>
    <s v="25_34"/>
    <s v="man"/>
    <n v="3"/>
    <s v="no"/>
    <x v="0"/>
    <d v="2025-04-02T00:00:00"/>
    <s v="planning"/>
    <n v="3"/>
    <n v="3"/>
    <n v="4"/>
    <s v="yes"/>
    <n v="4"/>
    <s v="no"/>
    <s v=""/>
    <s v="A location closer to the community would improve attendance."/>
    <n v="26.4"/>
    <x v="0"/>
    <s v="Round 2"/>
    <s v="Planning"/>
    <s v="UNMAPPED"/>
  </r>
  <r>
    <s v="SUB-0197"/>
    <s v="SYN-0197"/>
    <s v="yes"/>
    <s v="1.0.0"/>
    <s v="ROUND_2"/>
    <d v="2025-09-25T00:00:00"/>
    <d v="2025-06-24T00:00:00"/>
    <s v="SOUTH"/>
    <s v="E01"/>
    <s v="ENUM_01"/>
    <s v="yes"/>
    <s v="25_34"/>
    <s v="woman"/>
    <n v="3"/>
    <s v="yes"/>
    <x v="0"/>
    <d v="2025-09-05T00:00:00"/>
    <s v="digital_skills"/>
    <n v="3"/>
    <n v="2"/>
    <n v="3"/>
    <s v="yes"/>
    <n v="3"/>
    <s v="no"/>
    <s v=""/>
    <s v=""/>
    <n v="22.6"/>
    <x v="4"/>
    <s v="Round 2"/>
    <s v="Digital skills"/>
    <s v="UNMAPPED"/>
  </r>
  <r>
    <s v="SUB-0309"/>
    <s v="SYN-0309"/>
    <s v="yes"/>
    <s v="1.0.0"/>
    <s v="ROUND_1"/>
    <d v="2025-04-10T00:00:00"/>
    <d v="2024-11-15T00:00:00"/>
    <s v="EAST"/>
    <s v="E02"/>
    <s v="ENUM_06"/>
    <s v="yes"/>
    <s v="18_24"/>
    <s v="man"/>
    <n v="99"/>
    <s v="no"/>
    <x v="0"/>
    <d v="2024-12-09T00:00:00"/>
    <s v="digital_skills"/>
    <n v="5"/>
    <n v="1"/>
    <n v="2"/>
    <s v="yes"/>
    <n v="4"/>
    <s v="no"/>
    <s v=""/>
    <s v=""/>
    <n v="17"/>
    <x v="2"/>
    <s v="Round 1"/>
    <s v="Digital skills"/>
    <s v="UNMAPPED"/>
  </r>
  <r>
    <s v="SUB-0286"/>
    <s v="SYN-0286"/>
    <s v="yes"/>
    <s v="1.0.0"/>
    <s v="ROUND_2"/>
    <d v="2025-06-10T00:00:00"/>
    <d v="2025-04-14T00:00:00"/>
    <s v="WEST"/>
    <s v="W03"/>
    <s v="ENUM_08"/>
    <s v="yes"/>
    <s v="18_24"/>
    <s v="man"/>
    <n v="8"/>
    <s v="no"/>
    <x v="1"/>
    <m/>
    <s v=""/>
    <m/>
    <m/>
    <m/>
    <s v=""/>
    <n v="4"/>
    <s v="no"/>
    <s v=""/>
    <s v=""/>
    <n v="13.1"/>
    <x v="1"/>
    <s v="Round 2"/>
    <s v="UNMAPPED"/>
    <s v="UNMAPPED"/>
  </r>
  <r>
    <s v="SUB-0012"/>
    <s v="SYN-0012"/>
    <s v="yes"/>
    <s v="1.0.0"/>
    <s v="ROUND_2"/>
    <d v="2025-05-27T00:00:00"/>
    <d v="2025-02-16T00:00:00"/>
    <s v="WEST"/>
    <s v="W03"/>
    <s v="ENUM_08"/>
    <s v="yes"/>
    <s v="35_44"/>
    <s v="woman"/>
    <n v="3"/>
    <s v="no"/>
    <x v="0"/>
    <d v="2025-04-18T00:00:00"/>
    <s v="leadership"/>
    <n v="4"/>
    <n v="2"/>
    <n v="4"/>
    <s v="yes"/>
    <n v="4"/>
    <s v="no"/>
    <s v=""/>
    <s v="More time for questions and practice would improve the training."/>
    <n v="29.6"/>
    <x v="1"/>
    <s v="Round 2"/>
    <s v="Leadership"/>
    <s v="UNMAPPED"/>
  </r>
  <r>
    <s v="SUB-0315"/>
    <s v="SYN-0315"/>
    <s v="yes"/>
    <s v="1.0.0"/>
    <s v="ROUND_2"/>
    <d v="2025-05-20T00:00:00"/>
    <d v="2025-02-24T00:00:00"/>
    <s v="EAST"/>
    <s v="E01"/>
    <s v="ENUM_07"/>
    <s v="yes"/>
    <s v="25_34"/>
    <s v="man"/>
    <n v="7"/>
    <s v="no"/>
    <x v="0"/>
    <d v="2025-05-13T00:00:00"/>
    <s v="planning"/>
    <n v="4"/>
    <n v="2"/>
    <n v="3"/>
    <s v="yes"/>
    <n v="4"/>
    <s v="no"/>
    <s v=""/>
    <s v="A follow-up session on digital tools would be helpful."/>
    <n v="28.8"/>
    <x v="2"/>
    <s v="Round 2"/>
    <s v="Planning"/>
    <s v="UNMAPPED"/>
  </r>
  <r>
    <s v="SUB-0283"/>
    <s v="SYN-0283"/>
    <s v="yes"/>
    <s v="1.0.0"/>
    <s v="ROUND_2"/>
    <d v="2025-04-27T00:00:00"/>
    <d v="2024-12-29T00:00:00"/>
    <s v="EAST"/>
    <s v="E01"/>
    <s v="ENUM_06"/>
    <s v="yes"/>
    <s v="25_34"/>
    <s v="woman"/>
    <n v="7"/>
    <s v="no"/>
    <x v="0"/>
    <d v="2025-02-04T00:00:00"/>
    <s v="planning"/>
    <n v="5"/>
    <n v="3"/>
    <n v="4"/>
    <s v="yes"/>
    <n v="3"/>
    <s v="yes"/>
    <s v="community_meeting"/>
    <s v=""/>
    <n v="20.9"/>
    <x v="2"/>
    <s v="Round 2"/>
    <s v="Planning"/>
    <s v="Community meeting"/>
  </r>
  <r>
    <s v="SUB-0061"/>
    <s v="SYN-0061"/>
    <s v="yes"/>
    <s v="1.0.0"/>
    <s v="ROUND_2"/>
    <d v="2025-08-28T00:00:00"/>
    <d v="2025-05-04T00:00:00"/>
    <s v="NORTH"/>
    <s v="N03"/>
    <s v="ENUM_04"/>
    <s v="yes"/>
    <s v="18_24"/>
    <s v="prefer_not"/>
    <n v="3"/>
    <s v="no"/>
    <x v="0"/>
    <d v="2025-05-21T00:00:00"/>
    <s v="financial_skills"/>
    <n v="3"/>
    <n v="2"/>
    <n v="2"/>
    <s v="yes"/>
    <n v="5"/>
    <s v="no"/>
    <s v=""/>
    <s v=""/>
    <n v="26.1"/>
    <x v="0"/>
    <s v="Round 2"/>
    <s v="Financial skills"/>
    <s v="UNMAPPED"/>
  </r>
  <r>
    <s v="SUB-0408"/>
    <s v="SYN-0408"/>
    <s v="yes"/>
    <s v="1.0.0"/>
    <s v="ROUND_2"/>
    <d v="2025-07-09T00:00:00"/>
    <d v="2025-02-15T00:00:00"/>
    <s v="NORTH"/>
    <s v="N01"/>
    <s v="ENUM_02"/>
    <s v="yes"/>
    <s v="25_34"/>
    <s v="man"/>
    <n v="6"/>
    <s v="no"/>
    <x v="0"/>
    <d v="2025-05-05T00:00:00"/>
    <s v="financial_skills"/>
    <n v="4"/>
    <n v="1"/>
    <n v="3"/>
    <s v="yes"/>
    <n v="3"/>
    <s v="yes"/>
    <s v="radio"/>
    <s v="I have already used one of the planning tools from the session."/>
    <n v="13.8"/>
    <x v="0"/>
    <s v="Round 2"/>
    <s v="Financial skills"/>
    <s v="Radio"/>
  </r>
  <r>
    <s v="SUB-0380"/>
    <s v="SYN-0380"/>
    <s v="yes"/>
    <s v="1.0.0"/>
    <s v="ROUND_1"/>
    <d v="2025-09-25T00:00:00"/>
    <d v="2025-07-13T00:00:00"/>
    <s v="SOUTH"/>
    <s v="S01"/>
    <s v="ENUM_04"/>
    <s v="yes"/>
    <s v="45_54"/>
    <s v="man"/>
    <n v="4"/>
    <s v="yes"/>
    <x v="1"/>
    <m/>
    <s v=""/>
    <m/>
    <m/>
    <m/>
    <s v=""/>
    <n v="4"/>
    <s v="no"/>
    <s v=""/>
    <s v=""/>
    <n v="25.8"/>
    <x v="4"/>
    <s v="Round 1"/>
    <s v="UNMAPPED"/>
    <s v="UNMAPPED"/>
  </r>
  <r>
    <s v="SUB-0033"/>
    <s v="SYN-0033"/>
    <s v="yes"/>
    <s v="1.0.0"/>
    <s v="ROUND_2"/>
    <d v="2025-05-04T00:00:00"/>
    <d v="2025-01-16T00:00:00"/>
    <s v="WEST"/>
    <s v="W03"/>
    <s v="ENUM_05"/>
    <s v="yes"/>
    <s v="25_34"/>
    <s v="woman"/>
    <n v="4"/>
    <s v="yes"/>
    <x v="1"/>
    <d v="2025-05-04T00:00:00"/>
    <s v="digital_skills"/>
    <n v="4"/>
    <n v="2"/>
    <n v="4"/>
    <s v="yes"/>
    <n v="2"/>
    <s v="no"/>
    <s v=""/>
    <s v=""/>
    <n v="17.5"/>
    <x v="1"/>
    <s v="Round 2"/>
    <s v="Digital skills"/>
    <s v="UNMAPPED"/>
  </r>
  <r>
    <s v="SUB-0322"/>
    <s v="SYN-0322"/>
    <s v="yes"/>
    <s v="1.0.0"/>
    <s v="ROUND_1"/>
    <d v="2025-06-03T00:00:00"/>
    <d v="2025-01-15T00:00:00"/>
    <s v="EAST"/>
    <s v="E02"/>
    <s v="ENUM_05"/>
    <s v="yes"/>
    <s v="45_54"/>
    <s v="man"/>
    <n v="4"/>
    <s v="no"/>
    <x v="1"/>
    <m/>
    <s v=""/>
    <m/>
    <m/>
    <m/>
    <s v=""/>
    <n v="5"/>
    <s v="yes"/>
    <s v="printed_material"/>
    <s v=""/>
    <n v="7.1"/>
    <x v="2"/>
    <s v="Round 1"/>
    <s v="UNMAPPED"/>
    <s v="Printed material"/>
  </r>
  <r>
    <s v="SUB-0341"/>
    <s v="SYN-0341"/>
    <s v="yes"/>
    <s v="1.0.0"/>
    <s v="ROUND_2"/>
    <d v="2025-08-23T00:00:00"/>
    <d v="2025-04-07T00:00:00"/>
    <s v="NORTH"/>
    <s v="N03"/>
    <s v="ENUM_08"/>
    <s v="yes"/>
    <s v="35_44"/>
    <s v="woman"/>
    <n v="45"/>
    <s v="no"/>
    <x v="0"/>
    <d v="2025-08-04T00:00:00"/>
    <s v="financial_skills"/>
    <n v="4"/>
    <n v="1"/>
    <n v="2"/>
    <s v="yes"/>
    <n v="4"/>
    <s v="yes"/>
    <s v="printed_material"/>
    <s v=""/>
    <n v="11.5"/>
    <x v="0"/>
    <s v="Round 2"/>
    <s v="Financial skills"/>
    <s v="Printed material"/>
  </r>
  <r>
    <s v="SUB-0390"/>
    <s v="SYN-0390"/>
    <s v="yes"/>
    <s v="1.0.0"/>
    <s v="ROUND_2"/>
    <d v="2025-06-27T00:00:00"/>
    <d v="2025-05-17T00:00:00"/>
    <s v="NORTH"/>
    <s v="N01"/>
    <s v="ENUM_06"/>
    <s v="yes"/>
    <s v="45_54"/>
    <s v="man"/>
    <n v="6"/>
    <s v="no"/>
    <x v="1"/>
    <m/>
    <s v=""/>
    <m/>
    <m/>
    <m/>
    <s v=""/>
    <n v="5"/>
    <s v="no"/>
    <s v=""/>
    <s v=""/>
    <n v="11.4"/>
    <x v="0"/>
    <s v="Round 2"/>
    <s v="UNMAPPED"/>
    <s v="UNMAPPED"/>
  </r>
  <r>
    <s v="SUB-0040"/>
    <s v="SYN-0040"/>
    <s v="yes"/>
    <s v="1.0.0"/>
    <s v="ROUND_1"/>
    <d v="2025-06-06T00:00:00"/>
    <d v="2025-03-29T00:00:00"/>
    <s v="EAST"/>
    <s v="E03"/>
    <s v="ENUM_04"/>
    <s v="yes"/>
    <s v="18_24"/>
    <s v="man"/>
    <n v="3"/>
    <s v="no"/>
    <x v="0"/>
    <d v="2025-04-03T00:00:00"/>
    <s v="digital_skills"/>
    <n v="4"/>
    <n v="2"/>
    <n v="4"/>
    <s v="yes"/>
    <n v="5"/>
    <s v="no"/>
    <s v=""/>
    <s v=""/>
    <n v="15.5"/>
    <x v="2"/>
    <s v="Round 1"/>
    <s v="Digital skills"/>
    <s v="UNMAPPED"/>
  </r>
  <r>
    <s v="SUB-0023"/>
    <s v="SYN-0023"/>
    <s v="yes"/>
    <s v="1.0.0"/>
    <s v="ROUND_1"/>
    <d v="2025-06-16T00:00:00"/>
    <d v="2025-03-18T00:00:00"/>
    <s v="SOUTH"/>
    <s v="S02"/>
    <s v="ENUM_03"/>
    <s v="yes"/>
    <s v="35_44"/>
    <s v="non_binary"/>
    <n v="7"/>
    <s v="yes"/>
    <x v="1"/>
    <m/>
    <s v=""/>
    <m/>
    <m/>
    <m/>
    <s v=""/>
    <n v="5"/>
    <s v="no"/>
    <s v=""/>
    <s v=""/>
    <n v="4"/>
    <x v="4"/>
    <s v="Round 1"/>
    <s v="UNMAPPED"/>
    <s v="UNMAPPED"/>
  </r>
  <r>
    <s v="SUB-0114"/>
    <s v="SYN-0114"/>
    <s v="yes"/>
    <s v="1.0.0"/>
    <s v="ROUND_1"/>
    <d v="2025-09-08T00:00:00"/>
    <d v="2025-07-15T00:00:00"/>
    <s v="NORTH"/>
    <s v="N03"/>
    <s v="ENUM_06"/>
    <s v="yes"/>
    <s v="35_44"/>
    <s v="woman"/>
    <n v="7"/>
    <s v="no"/>
    <x v="0"/>
    <d v="2025-08-10T00:00:00"/>
    <s v="digital_skills"/>
    <n v="3"/>
    <n v="4"/>
    <n v="5"/>
    <s v="no"/>
    <n v="5"/>
    <s v="no"/>
    <s v=""/>
    <s v=""/>
    <n v="23.7"/>
    <x v="0"/>
    <s v="Round 1"/>
    <s v="Digital skills"/>
    <s v="UNMAPPED"/>
  </r>
  <r>
    <s v="SUB-0358"/>
    <s v="SYN-0358"/>
    <s v="yes"/>
    <s v="1.0.0"/>
    <s v="ROUND_2"/>
    <d v="2025-04-24T00:00:00"/>
    <d v="2025-03-19T00:00:00"/>
    <s v="SOUTH"/>
    <s v=""/>
    <s v="ENUM_02"/>
    <s v="yes"/>
    <s v="25_34"/>
    <s v="woman"/>
    <n v="7"/>
    <s v="no"/>
    <x v="0"/>
    <d v="2025-03-22T00:00:00"/>
    <s v="digital_skills"/>
    <n v="4"/>
    <n v="3"/>
    <n v="4"/>
    <s v="yes"/>
    <n v="3"/>
    <s v="yes"/>
    <s v="printed_material"/>
    <s v="The group activities helped me learn from other participants."/>
    <n v="14.3"/>
    <x v="4"/>
    <s v="Round 2"/>
    <s v="Digital skills"/>
    <s v="Printed material"/>
  </r>
  <r>
    <s v="SUB-0059"/>
    <s v="SYN-0059"/>
    <s v="yes"/>
    <s v="1.0.0"/>
    <s v="ROUND_1"/>
    <d v="2025-05-09T00:00:00"/>
    <d v="2025-02-03T00:00:00"/>
    <s v="EAST"/>
    <s v="E03"/>
    <s v="ENUM_05"/>
    <s v="yes"/>
    <s v="25_34"/>
    <s v="woman"/>
    <n v="7"/>
    <s v="yes"/>
    <x v="0"/>
    <d v="2025-04-10T00:00:00"/>
    <s v="planning"/>
    <n v="4"/>
    <n v="4"/>
    <n v="4"/>
    <s v="yes"/>
    <n v="4"/>
    <s v="no"/>
    <s v=""/>
    <s v=""/>
    <n v="17.399999999999999"/>
    <x v="2"/>
    <s v="Round 1"/>
    <s v="Planning"/>
    <s v="UNMAPPED"/>
  </r>
  <r>
    <s v="SUB-DUP-008"/>
    <s v="SYN-0296"/>
    <s v="yes"/>
    <s v="1.0.0"/>
    <s v="ROUND_2"/>
    <d v="2025-06-05T00:00:00"/>
    <d v="2025-01-22T00:00:00"/>
    <s v="EAST"/>
    <s v="E01"/>
    <s v="ENUM_02"/>
    <s v="yes"/>
    <s v="25_34"/>
    <s v="woman"/>
    <n v="10"/>
    <s v="no"/>
    <x v="0"/>
    <d v="2025-03-04T00:00:00"/>
    <s v="planning"/>
    <n v="4"/>
    <n v="1"/>
    <n v="3"/>
    <s v="yes"/>
    <n v="4"/>
    <s v="no"/>
    <s v=""/>
    <s v=""/>
    <n v="25.6"/>
    <x v="2"/>
    <s v="Round 2"/>
    <s v="Planning"/>
    <s v="UNMAPPED"/>
  </r>
  <r>
    <s v="SUB-0173"/>
    <s v="SYN-0173"/>
    <s v="yes"/>
    <s v="1.0.0"/>
    <s v="ROUND_2"/>
    <d v="2025-08-31T00:00:00"/>
    <d v="2025-04-28T00:00:00"/>
    <s v="WEST"/>
    <s v="W01"/>
    <s v="ENUM_05"/>
    <s v="yes"/>
    <s v="18_24"/>
    <s v="man"/>
    <n v="6"/>
    <s v="no"/>
    <x v="1"/>
    <m/>
    <s v=""/>
    <m/>
    <m/>
    <m/>
    <s v=""/>
    <n v="4"/>
    <s v="yes"/>
    <s v="radio"/>
    <s v=""/>
    <n v="18.8"/>
    <x v="1"/>
    <s v="Round 2"/>
    <s v="UNMAPPED"/>
    <s v="Radio"/>
  </r>
  <r>
    <s v="SUB-0310"/>
    <s v="SYN-0310"/>
    <s v="yes"/>
    <s v="1.0.0"/>
    <s v="ROUND_2"/>
    <d v="2025-09-30T00:00:00"/>
    <d v="2025-07-15T00:00:00"/>
    <s v="NORTH"/>
    <s v="N01"/>
    <s v="ENUM_08"/>
    <s v="yes"/>
    <s v="35_44"/>
    <s v="prefer_not"/>
    <n v="5"/>
    <s v="yes"/>
    <x v="0"/>
    <d v="2025-09-27T00:00:00"/>
    <s v="digital_skills"/>
    <n v="3"/>
    <n v="2"/>
    <n v="4"/>
    <s v="yes"/>
    <n v="5"/>
    <s v="no"/>
    <s v=""/>
    <s v=""/>
    <n v="13.1"/>
    <x v="0"/>
    <s v="Round 2"/>
    <s v="Digital skills"/>
    <s v="UNMAPPED"/>
  </r>
  <r>
    <s v="SUB-0054"/>
    <s v="SYN-0054"/>
    <s v="yes"/>
    <s v="1.0.0"/>
    <s v="ROUND_1"/>
    <d v="2025-07-12T00:00:00"/>
    <d v="2025-03-11T00:00:00"/>
    <s v="WEST"/>
    <s v="W03"/>
    <s v="ENUM_07"/>
    <s v="yes"/>
    <s v="55_plus"/>
    <s v="woman"/>
    <n v="4"/>
    <s v="no"/>
    <x v="0"/>
    <d v="2025-06-17T00:00:00"/>
    <s v="leadership"/>
    <n v="4"/>
    <n v="2"/>
    <n v="2"/>
    <s v="yes"/>
    <n v="2"/>
    <s v="no"/>
    <s v=""/>
    <s v=""/>
    <n v="19.2"/>
    <x v="1"/>
    <s v="Round 1"/>
    <s v="Leadership"/>
    <s v="UNMAPPED"/>
  </r>
  <r>
    <s v="SUB-0095"/>
    <s v="SYN-0095"/>
    <s v="yes"/>
    <s v="1.0.0"/>
    <s v="ROUND_2"/>
    <d v="2025-05-03T00:00:00"/>
    <d v="2024-12-28T00:00:00"/>
    <s v="EAST"/>
    <s v="E01"/>
    <s v="ENUM_08"/>
    <s v="yes"/>
    <s v="55_plus"/>
    <s v="woman"/>
    <n v="6"/>
    <s v="no"/>
    <x v="0"/>
    <d v="2025-03-13T00:00:00"/>
    <s v="digital_skills"/>
    <n v="4"/>
    <n v="3"/>
    <n v="4"/>
    <s v="yes"/>
    <n v="2"/>
    <s v="no"/>
    <s v=""/>
    <s v="I would like more examples about budgeting and record keeping."/>
    <n v="18.899999999999999"/>
    <x v="2"/>
    <s v="Round 2"/>
    <s v="Digital skills"/>
    <s v="UNMAPPED"/>
  </r>
  <r>
    <s v="SUB-0041"/>
    <s v="SYN-0041"/>
    <s v="yes"/>
    <s v="1.0.0"/>
    <s v="ROUND_2"/>
    <d v="2025-08-08T00:00:00"/>
    <d v="2025-05-13T00:00:00"/>
    <s v="EAST"/>
    <s v="E03"/>
    <s v="ENUM_06"/>
    <s v="yes"/>
    <s v="55_plus"/>
    <s v="man"/>
    <n v="7"/>
    <s v="no"/>
    <x v="0"/>
    <d v="2025-07-13T00:00:00"/>
    <s v="planning"/>
    <n v="4"/>
    <n v="1"/>
    <n v="3"/>
    <s v="yes"/>
    <n v="5"/>
    <s v="no"/>
    <s v=""/>
    <s v="The facilitator explained the topic clearly and respectfully."/>
    <n v="17.8"/>
    <x v="2"/>
    <s v="Round 2"/>
    <s v="Planning"/>
    <s v="UNMAPPED"/>
  </r>
  <r>
    <s v="SUB-0357"/>
    <s v="SYN-0357"/>
    <s v="yes"/>
    <s v="1.0.0"/>
    <s v="ROUND_2"/>
    <d v="2025-07-15T00:00:00"/>
    <d v="2025-06-14T00:00:00"/>
    <s v="EAST"/>
    <s v="E03"/>
    <s v="ENUM_04"/>
    <s v="yes"/>
    <s v="35_44"/>
    <s v="man"/>
    <n v="3"/>
    <s v="no"/>
    <x v="0"/>
    <d v="2025-06-24T00:00:00"/>
    <s v="digital_skills"/>
    <n v="4"/>
    <n v="4"/>
    <n v="4"/>
    <s v="no"/>
    <n v="4"/>
    <s v="no"/>
    <s v=""/>
    <s v=""/>
    <n v="20.100000000000001"/>
    <x v="2"/>
    <s v="Round 2"/>
    <s v="Digital skills"/>
    <s v="UNMAPPED"/>
  </r>
  <r>
    <s v="SUB-0343"/>
    <s v="SYN-0343"/>
    <s v="yes"/>
    <s v="1.0.0"/>
    <s v="ROUND_2"/>
    <d v="2025-06-30T00:00:00"/>
    <d v="2025-02-10T00:00:00"/>
    <s v="EAST"/>
    <s v="E01"/>
    <s v="ENUM_04"/>
    <s v="yes"/>
    <s v="18_24"/>
    <s v="woman"/>
    <n v="5"/>
    <s v="no"/>
    <x v="0"/>
    <d v="2025-05-28T00:00:00"/>
    <s v="financial_skills"/>
    <n v="4"/>
    <n v="4"/>
    <n v="5"/>
    <s v="no"/>
    <n v="4"/>
    <s v="no"/>
    <s v=""/>
    <s v="Printed materials would help people who cannot attend every session."/>
    <n v="19.2"/>
    <x v="2"/>
    <s v="Round 2"/>
    <s v="Financial skills"/>
    <s v="UNMAPPED"/>
  </r>
  <r>
    <s v="SUB-0181"/>
    <s v="SYN-0181"/>
    <s v="yes"/>
    <s v="1.0.0"/>
    <s v="ROUND_1"/>
    <d v="2025-05-09T00:00:00"/>
    <d v="2025-04-03T00:00:00"/>
    <s v="EAST"/>
    <s v="E02"/>
    <s v="ENUM_03"/>
    <s v="yes"/>
    <s v="25_34"/>
    <s v="woman"/>
    <n v="4"/>
    <s v="no"/>
    <x v="0"/>
    <d v="2025-04-28T00:00:00"/>
    <s v="financial_skills"/>
    <n v="4"/>
    <n v="3"/>
    <n v="4"/>
    <s v="no"/>
    <n v="1"/>
    <s v="yes"/>
    <s v="radio"/>
    <s v=""/>
    <n v="24.9"/>
    <x v="2"/>
    <s v="Round 1"/>
    <s v="Financial skills"/>
    <s v="Radio"/>
  </r>
  <r>
    <s v="SUB-0320"/>
    <s v="SYN-0320"/>
    <s v="yes"/>
    <s v="1.0.0"/>
    <s v="ROUND_1"/>
    <d v="2025-08-04T00:00:00"/>
    <d v="2025-05-19T00:00:00"/>
    <s v="SOUTH"/>
    <s v="S03"/>
    <s v="ENUM_04"/>
    <s v="yes"/>
    <s v="25_34"/>
    <s v="man"/>
    <n v="4"/>
    <s v="no"/>
    <x v="0"/>
    <d v="2025-07-26T00:00:00"/>
    <s v="financial_skills"/>
    <n v="3"/>
    <n v="3"/>
    <n v="4"/>
    <s v="yes"/>
    <n v="4"/>
    <s v="no"/>
    <s v=""/>
    <s v=""/>
    <n v="16.899999999999999"/>
    <x v="4"/>
    <s v="Round 1"/>
    <s v="Financial skills"/>
    <s v="UNMAPPED"/>
  </r>
  <r>
    <s v="SUB-0132"/>
    <s v="SYN-0132"/>
    <s v="yes"/>
    <s v="1.0.0"/>
    <s v="ROUND_2"/>
    <d v="2025-07-09T00:00:00"/>
    <d v="2025-05-26T00:00:00"/>
    <s v="NORTH"/>
    <s v="N01"/>
    <s v="ENUM_02"/>
    <s v="yes"/>
    <s v="25_34"/>
    <s v="man"/>
    <n v="4"/>
    <s v="yes"/>
    <x v="0"/>
    <d v="2025-06-15T00:00:00"/>
    <s v="financial_skills"/>
    <n v="4"/>
    <n v="4"/>
    <n v="4"/>
    <s v="yes"/>
    <n v="4"/>
    <s v="yes"/>
    <s v="community_meeting"/>
    <s v=""/>
    <n v="13.4"/>
    <x v="0"/>
    <s v="Round 2"/>
    <s v="Financial skills"/>
    <s v="Community meeting"/>
  </r>
  <r>
    <s v="SUB-0015"/>
    <s v="SYN-0015"/>
    <s v="yes"/>
    <s v="1.0.0"/>
    <s v="ROUND_2"/>
    <d v="2025-08-17T00:00:00"/>
    <d v="2025-05-04T00:00:00"/>
    <s v="NORTH"/>
    <s v="N02"/>
    <s v="ENUM_02"/>
    <s v="yes"/>
    <s v="25_34"/>
    <s v="woman"/>
    <n v="6"/>
    <s v="no"/>
    <x v="0"/>
    <d v="2025-07-29T00:00:00"/>
    <s v="planning"/>
    <n v="3"/>
    <n v="1"/>
    <n v="3"/>
    <s v="yes"/>
    <n v="4"/>
    <s v="no"/>
    <s v=""/>
    <s v=""/>
    <n v="21.4"/>
    <x v="0"/>
    <s v="Round 2"/>
    <s v="Planning"/>
    <s v="UNMAPPED"/>
  </r>
  <r>
    <s v="SUB-0248"/>
    <s v="SYN-0248"/>
    <s v="yes"/>
    <s v="1.0.0"/>
    <s v="ROUND_2"/>
    <d v="2025-07-16T00:00:00"/>
    <d v="2025-05-01T00:00:00"/>
    <s v="WEST"/>
    <s v="W03"/>
    <s v="ENUM_06"/>
    <s v="yes"/>
    <s v="25_34"/>
    <s v="woman"/>
    <n v="2"/>
    <s v="no"/>
    <x v="0"/>
    <d v="2025-06-25T00:00:00"/>
    <s v="digital_skills"/>
    <n v="2"/>
    <n v="2"/>
    <n v="4"/>
    <s v="yes"/>
    <n v="4"/>
    <s v="no"/>
    <s v=""/>
    <s v=""/>
    <n v="16.899999999999999"/>
    <x v="1"/>
    <s v="Round 2"/>
    <s v="Digital skills"/>
    <s v="UNMAPPED"/>
  </r>
  <r>
    <s v="SUB-0406"/>
    <s v="SYN-0406"/>
    <s v="yes"/>
    <s v="1.0.0"/>
    <s v="ROUND_1"/>
    <d v="2025-06-20T00:00:00"/>
    <d v="2025-02-16T00:00:00"/>
    <s v="EAST"/>
    <s v="E02"/>
    <s v="ENUM_07"/>
    <s v="yes"/>
    <s v="25_34"/>
    <s v="man"/>
    <n v="4"/>
    <s v="no"/>
    <x v="0"/>
    <d v="2025-03-11T00:00:00"/>
    <s v="planning"/>
    <n v="1"/>
    <n v="4"/>
    <n v="5"/>
    <s v="yes"/>
    <n v="4"/>
    <s v="no"/>
    <s v=""/>
    <s v=""/>
    <n v="20.399999999999999"/>
    <x v="2"/>
    <s v="Round 1"/>
    <s v="Planning"/>
    <s v="UNMAPPED"/>
  </r>
  <r>
    <s v="SUB-DUP-005"/>
    <s v="SYN-0206"/>
    <s v="yes"/>
    <s v="1.0.0"/>
    <s v="ROUND_2"/>
    <d v="2025-09-25T00:00:00"/>
    <d v="2025-05-24T00:00:00"/>
    <s v="EAST"/>
    <s v="E03"/>
    <s v="ENUM_03"/>
    <s v="yes"/>
    <s v="45_54"/>
    <s v="woman"/>
    <n v="5"/>
    <s v="no"/>
    <x v="0"/>
    <d v="2025-05-27T00:00:00"/>
    <s v="financial_skills"/>
    <n v="5"/>
    <n v="3"/>
    <n v="5"/>
    <s v="yes"/>
    <n v="4"/>
    <s v="no"/>
    <s v=""/>
    <s v="I would like more examples about budgeting and record keeping."/>
    <n v="15.6"/>
    <x v="2"/>
    <s v="Round 2"/>
    <s v="Financial skills"/>
    <s v="UNMAPPED"/>
  </r>
  <r>
    <s v="SUB-0146"/>
    <s v="SYN-0146"/>
    <s v="yes"/>
    <s v="1.0.0"/>
    <s v="ROUND_2"/>
    <d v="2025-09-20T00:00:00"/>
    <d v="2025-06-12T00:00:00"/>
    <s v="EAST"/>
    <s v="E02"/>
    <s v="ENUM_06"/>
    <s v="yes"/>
    <s v="under_18"/>
    <s v="man"/>
    <n v="7"/>
    <s v="no"/>
    <x v="0"/>
    <d v="2025-07-15T00:00:00"/>
    <s v="financial_skills"/>
    <n v="4"/>
    <n v="3"/>
    <n v="3"/>
    <s v="no"/>
    <n v="2"/>
    <s v="no"/>
    <s v=""/>
    <s v=""/>
    <n v="11.2"/>
    <x v="2"/>
    <s v="Round 2"/>
    <s v="Financial skills"/>
    <s v="UNMAPPED"/>
  </r>
  <r>
    <s v="SUB-0208"/>
    <s v="SYN-0208"/>
    <s v="yes"/>
    <s v="1.0.0"/>
    <s v="ROUND_1"/>
    <d v="2025-05-13T00:00:00"/>
    <d v="2024-12-28T00:00:00"/>
    <s v="WEST"/>
    <s v="W03"/>
    <s v="ENUM_02"/>
    <s v="yes"/>
    <s v="25_34"/>
    <s v="man"/>
    <n v="4"/>
    <s v="yes"/>
    <x v="0"/>
    <d v="2025-02-15T00:00:00"/>
    <s v="financial_skills"/>
    <n v="2"/>
    <n v="2"/>
    <n v="3"/>
    <s v="yes"/>
    <n v="3"/>
    <s v="no"/>
    <s v=""/>
    <s v=""/>
    <n v="15.7"/>
    <x v="1"/>
    <s v="Round 1"/>
    <s v="Financial skills"/>
    <s v="UNMAPPED"/>
  </r>
  <r>
    <s v="SUB-0368"/>
    <s v="SYN-0368"/>
    <s v="yes"/>
    <s v="1.0.0"/>
    <s v="ROUND_1"/>
    <d v="2025-09-11T00:00:00"/>
    <d v="2025-07-02T00:00:00"/>
    <s v="WEST"/>
    <s v="W01"/>
    <s v="ENUM_03"/>
    <s v="yes"/>
    <s v="35_44"/>
    <s v="woman"/>
    <n v="7"/>
    <s v="no"/>
    <x v="0"/>
    <d v="2025-08-31T00:00:00"/>
    <s v="digital_skills"/>
    <n v="1"/>
    <n v="3"/>
    <n v="4"/>
    <s v="yes"/>
    <n v="3"/>
    <s v="yes"/>
    <s v="community_meeting"/>
    <s v="The group activities helped me learn from other participants."/>
    <n v="14.4"/>
    <x v="1"/>
    <s v="Round 1"/>
    <s v="Digital skills"/>
    <s v="Community meeting"/>
  </r>
  <r>
    <s v="SUB-0082"/>
    <s v="SYN-0082"/>
    <s v="yes"/>
    <s v="1.0.0"/>
    <s v="ROUND_2"/>
    <d v="2025-08-28T00:00:00"/>
    <d v="2025-07-13T00:00:00"/>
    <s v="SOUTH"/>
    <s v="S03"/>
    <s v="ENUM_08"/>
    <s v="yes"/>
    <s v="45_54"/>
    <s v="woman"/>
    <n v="5"/>
    <s v="no"/>
    <x v="1"/>
    <m/>
    <s v=""/>
    <m/>
    <m/>
    <m/>
    <s v=""/>
    <n v="3"/>
    <s v="no"/>
    <s v=""/>
    <s v=""/>
    <n v="20.6"/>
    <x v="4"/>
    <s v="Round 2"/>
    <s v="UNMAPPED"/>
    <s v="UNMAPPED"/>
  </r>
  <r>
    <s v="SUB-0388"/>
    <s v="SYN-0388"/>
    <s v="yes"/>
    <s v="1.0.0"/>
    <s v="ROUND_2"/>
    <d v="2025-05-11T00:00:00"/>
    <d v="2025-01-29T00:00:00"/>
    <s v="NORTH"/>
    <s v="X99"/>
    <s v="ENUM_03"/>
    <s v="yes"/>
    <s v="35_44"/>
    <s v="woman"/>
    <n v="8"/>
    <s v="no"/>
    <x v="0"/>
    <d v="2025-02-22T00:00:00"/>
    <s v="digital_skills"/>
    <n v="4"/>
    <n v="4"/>
    <n v="5"/>
    <s v="no"/>
    <n v="4"/>
    <s v="yes"/>
    <s v="radio"/>
    <s v=""/>
    <n v="13.5"/>
    <x v="0"/>
    <s v="Round 2"/>
    <s v="Digital skills"/>
    <s v="Radio"/>
  </r>
  <r>
    <s v="SUB-0172"/>
    <s v="SYN-0172"/>
    <s v="yes"/>
    <s v="1.0.0"/>
    <s v="ROUND_2"/>
    <d v="2025-04-08T00:00:00"/>
    <d v="2024-11-10T00:00:00"/>
    <s v="NORTH"/>
    <s v="N01"/>
    <s v="ENUM_03"/>
    <s v="yes"/>
    <s v="45_54"/>
    <s v="woman"/>
    <n v="2"/>
    <s v="no"/>
    <x v="0"/>
    <d v="2025-03-08T00:00:00"/>
    <s v="leadership"/>
    <n v="5"/>
    <n v="3"/>
    <n v="4"/>
    <s v="no"/>
    <n v="4"/>
    <s v="no"/>
    <s v=""/>
    <s v="The group activities helped me learn from other participants."/>
    <n v="10.3"/>
    <x v="0"/>
    <s v="Round 2"/>
    <s v="Leadership"/>
    <s v="UNMAPPED"/>
  </r>
  <r>
    <s v="SUB-0076"/>
    <s v="SYN-0076"/>
    <s v="yes"/>
    <s v="1.0.0"/>
    <s v="ROUND_2"/>
    <d v="2025-05-17T00:00:00"/>
    <d v="2025-01-09T00:00:00"/>
    <s v="EAST"/>
    <s v="E02"/>
    <s v="ENUM_07"/>
    <s v="yes"/>
    <s v="35_44"/>
    <s v="woman"/>
    <n v="5"/>
    <s v="no"/>
    <x v="0"/>
    <d v="2025-05-14T00:00:00"/>
    <s v="digital_skills"/>
    <n v="4"/>
    <n v="1"/>
    <n v="3"/>
    <s v="yes"/>
    <n v="1"/>
    <s v="no"/>
    <s v=""/>
    <s v=""/>
    <n v="24.5"/>
    <x v="2"/>
    <s v="Round 2"/>
    <s v="Digital skills"/>
    <s v="UNMAPPED"/>
  </r>
  <r>
    <s v="SUB-0385"/>
    <s v="SYN-0385"/>
    <s v="yes"/>
    <s v="1.0.0"/>
    <s v="ROUND_1"/>
    <d v="2025-07-26T00:00:00"/>
    <d v="2025-04-01T00:00:00"/>
    <s v="SOUTH"/>
    <s v="S03"/>
    <s v="ENUM_01"/>
    <s v="yes"/>
    <s v="45_54"/>
    <s v="woman"/>
    <n v="4"/>
    <s v="no"/>
    <x v="0"/>
    <d v="2025-06-12T00:00:00"/>
    <s v="financial_skills"/>
    <n v="4"/>
    <n v="1"/>
    <n v="2"/>
    <s v="no"/>
    <n v="4"/>
    <s v="yes"/>
    <s v="community_meeting"/>
    <s v=""/>
    <n v="16.899999999999999"/>
    <x v="4"/>
    <s v="Round 1"/>
    <s v="Financial skills"/>
    <s v="Community meeting"/>
  </r>
  <r>
    <s v="SUB-0102"/>
    <s v="SYN-0102"/>
    <s v="yes"/>
    <s v="1.0.0"/>
    <s v="ROUND_1"/>
    <d v="2025-05-07T00:00:00"/>
    <d v="2025-03-18T00:00:00"/>
    <s v="EAST"/>
    <s v="E03"/>
    <s v="ENUM_02"/>
    <s v="yes"/>
    <s v="35_44"/>
    <s v="woman"/>
    <n v="5"/>
    <s v="no"/>
    <x v="0"/>
    <d v="2025-03-29T00:00:00"/>
    <s v="financial_skills"/>
    <n v="4"/>
    <n v="2"/>
    <n v="2"/>
    <s v="yes"/>
    <n v="4"/>
    <s v="no"/>
    <s v=""/>
    <s v=""/>
    <n v="20.3"/>
    <x v="2"/>
    <s v="Round 1"/>
    <s v="Financial skills"/>
    <s v="UNMAPPED"/>
  </r>
  <r>
    <s v="SUB-0048"/>
    <s v="SYN-0048"/>
    <s v="yes"/>
    <s v="1.0.0"/>
    <s v="ROUND_1"/>
    <d v="2025-06-27T00:00:00"/>
    <d v="2025-05-07T00:00:00"/>
    <s v="SOUTH"/>
    <s v="S01"/>
    <s v="ENUM_03"/>
    <s v="yes"/>
    <s v="35_44"/>
    <s v="woman"/>
    <n v="9"/>
    <s v="no"/>
    <x v="1"/>
    <m/>
    <s v=""/>
    <m/>
    <m/>
    <m/>
    <s v=""/>
    <n v="3"/>
    <s v="no"/>
    <s v=""/>
    <s v=""/>
    <n v="7.8"/>
    <x v="4"/>
    <s v="Round 1"/>
    <s v="UNMAPPED"/>
    <s v="UNMAPPED"/>
  </r>
  <r>
    <s v="SUB-0340"/>
    <s v="SYN-0340"/>
    <s v="yes"/>
    <s v="1.0.0"/>
    <s v="ROUND_2"/>
    <d v="2025-04-12T00:00:00"/>
    <d v="2025-02-08T00:00:00"/>
    <s v="WEST"/>
    <s v="W01"/>
    <s v="ENUM_08"/>
    <s v="yes"/>
    <s v="45_54"/>
    <s v="man"/>
    <n v="4"/>
    <s v="yes"/>
    <x v="0"/>
    <d v="2025-03-17T00:00:00"/>
    <s v="planning"/>
    <n v="4"/>
    <n v="2"/>
    <n v="3"/>
    <s v="no"/>
    <n v="2"/>
    <s v="no"/>
    <s v="radio"/>
    <s v="I have already used one of the planning tools from the session."/>
    <n v="19.7"/>
    <x v="1"/>
    <s v="Round 2"/>
    <s v="Planning"/>
    <s v="Radio"/>
  </r>
  <r>
    <s v="SUB-0405"/>
    <s v="SYN-0405"/>
    <s v="yes"/>
    <s v="1.0.0"/>
    <s v="ROUND_1"/>
    <d v="2025-06-07T00:00:00"/>
    <d v="2025-01-17T00:00:00"/>
    <s v="NORTH"/>
    <s v="N01"/>
    <s v="ENUM_03"/>
    <s v="yes"/>
    <s v="25_34"/>
    <s v="man"/>
    <n v="5"/>
    <s v="no"/>
    <x v="0"/>
    <d v="2025-03-02T00:00:00"/>
    <s v="planning"/>
    <n v="2"/>
    <n v="4"/>
    <n v="4"/>
    <s v="yes"/>
    <n v="5"/>
    <s v="no"/>
    <s v=""/>
    <s v="The group activities helped me learn from other participants."/>
    <n v="4"/>
    <x v="0"/>
    <s v="Round 1"/>
    <s v="Planning"/>
    <s v="UNMAPPED"/>
  </r>
  <r>
    <s v="SUB-0143"/>
    <s v="SYN-0143"/>
    <s v="yes"/>
    <s v="1.0.0"/>
    <s v="ROUND_2"/>
    <d v="2025-05-26T00:00:00"/>
    <d v="2025-01-13T00:00:00"/>
    <s v="EAST"/>
    <s v="E02"/>
    <s v="ENUM_04"/>
    <s v="yes"/>
    <s v="45_54"/>
    <s v="woman"/>
    <n v="7"/>
    <s v="yes"/>
    <x v="0"/>
    <d v="2025-01-29T00:00:00"/>
    <s v="digital_skills"/>
    <n v="5"/>
    <n v="1"/>
    <n v="2"/>
    <s v="yes"/>
    <n v="2"/>
    <s v="no"/>
    <s v=""/>
    <s v=""/>
    <n v="15.5"/>
    <x v="2"/>
    <s v="Round 2"/>
    <s v="Digital skills"/>
    <s v="UNMAPPED"/>
  </r>
  <r>
    <s v="SUB-DUP-010"/>
    <s v="SYN-0381"/>
    <s v="yes"/>
    <s v="1.0.0"/>
    <s v="ROUND_2"/>
    <d v="2025-09-16T00:00:00"/>
    <d v="2025-05-14T00:00:00"/>
    <s v="SOUTH"/>
    <s v="S01"/>
    <s v="ENUM_04"/>
    <s v="yes"/>
    <s v="25_34"/>
    <s v="man"/>
    <n v="3"/>
    <s v="no"/>
    <x v="1"/>
    <m/>
    <s v=""/>
    <m/>
    <m/>
    <m/>
    <s v=""/>
    <n v="3"/>
    <s v="no"/>
    <s v=""/>
    <s v=""/>
    <n v="14.6"/>
    <x v="4"/>
    <s v="Round 2"/>
    <s v="UNMAPPED"/>
    <s v="UNMAPPED"/>
  </r>
  <r>
    <s v="SUB-0052"/>
    <s v="SYN-0052"/>
    <s v="yes"/>
    <s v="1.0.0"/>
    <s v="ROUND_1"/>
    <d v="2025-06-19T00:00:00"/>
    <d v="2025-04-26T00:00:00"/>
    <s v="SOUTH"/>
    <s v="S03"/>
    <s v="ENUM_06"/>
    <s v="yes"/>
    <s v="35_44"/>
    <s v="woman"/>
    <n v="8"/>
    <s v="no"/>
    <x v="1"/>
    <m/>
    <s v=""/>
    <m/>
    <m/>
    <m/>
    <s v=""/>
    <n v="2"/>
    <s v="no"/>
    <s v=""/>
    <s v=""/>
    <n v="22"/>
    <x v="4"/>
    <s v="Round 1"/>
    <s v="UNMAPPED"/>
    <s v="UNMAPPED"/>
  </r>
  <r>
    <s v="SUB-0179"/>
    <s v="SYN-0179"/>
    <s v="yes"/>
    <s v="1.0.0"/>
    <s v="ROUND_2"/>
    <d v="2025-05-16T00:00:00"/>
    <d v="2024-12-24T00:00:00"/>
    <s v="WEST"/>
    <s v="W01"/>
    <s v="ENUM_08"/>
    <s v="yes"/>
    <s v="25_34"/>
    <s v="man"/>
    <n v="7"/>
    <s v="no"/>
    <x v="1"/>
    <m/>
    <s v=""/>
    <m/>
    <m/>
    <m/>
    <s v=""/>
    <n v="3"/>
    <s v="no"/>
    <s v=""/>
    <s v=""/>
    <n v="10.8"/>
    <x v="1"/>
    <s v="Round 2"/>
    <s v="UNMAPPED"/>
    <s v="UNMAPPED"/>
  </r>
  <r>
    <s v="SUB-0409"/>
    <s v="SYN-0409"/>
    <s v="yes"/>
    <s v="1.0.0"/>
    <s v="ROUND_2"/>
    <d v="2025-08-04T00:00:00"/>
    <d v="2025-03-11T00:00:00"/>
    <s v="NORTH"/>
    <s v="N03"/>
    <s v="ENUM_01"/>
    <s v="yes"/>
    <s v="18_24"/>
    <s v="man"/>
    <n v="3"/>
    <s v="no"/>
    <x v="1"/>
    <m/>
    <s v=""/>
    <m/>
    <m/>
    <m/>
    <s v=""/>
    <n v="5"/>
    <s v="no"/>
    <s v=""/>
    <s v=""/>
    <n v="13.2"/>
    <x v="0"/>
    <s v="Round 2"/>
    <s v="UNMAPPED"/>
    <s v="UNMAPPED"/>
  </r>
  <r>
    <s v="SUB-0046"/>
    <s v="SYN-0046"/>
    <s v="yes"/>
    <s v="1.0.0"/>
    <s v="ROUND_2"/>
    <d v="2025-05-05T00:00:00"/>
    <d v="2025-02-09T00:00:00"/>
    <s v="EAST"/>
    <s v="E01"/>
    <s v="ENUM_02"/>
    <s v="yes"/>
    <s v="35_44"/>
    <s v="woman"/>
    <n v="6"/>
    <s v="no"/>
    <x v="0"/>
    <d v="2025-03-29T00:00:00"/>
    <s v="financial_skills"/>
    <n v="5"/>
    <n v="4"/>
    <n v="5"/>
    <s v="no"/>
    <n v="5"/>
    <s v="yes"/>
    <s v="community_meeting"/>
    <s v=""/>
    <n v="18.100000000000001"/>
    <x v="2"/>
    <s v="Round 2"/>
    <s v="Financial skills"/>
    <s v="Community meeting"/>
  </r>
  <r>
    <s v="SUB-0246"/>
    <s v="SYN-0246"/>
    <s v="yes"/>
    <s v="1.0.0"/>
    <s v="ROUND_2"/>
    <d v="2025-06-13T00:00:00"/>
    <d v="2025-02-04T00:00:00"/>
    <s v="SOUTH"/>
    <s v="S03"/>
    <s v="ENUM_04"/>
    <s v="yes"/>
    <s v="18_24"/>
    <s v="man"/>
    <n v="1"/>
    <s v="no"/>
    <x v="0"/>
    <d v="2025-04-21T00:00:00"/>
    <s v="digital_skills"/>
    <n v="4"/>
    <n v="3"/>
    <n v="4"/>
    <s v="yes"/>
    <n v="5"/>
    <s v="no"/>
    <s v=""/>
    <s v=""/>
    <n v="14.4"/>
    <x v="4"/>
    <s v="Round 2"/>
    <s v="Digital skills"/>
    <s v="UNMAPPED"/>
  </r>
  <r>
    <s v="SUB-0167"/>
    <s v="SYN-0167"/>
    <s v="yes"/>
    <s v="1.0.0"/>
    <s v="ROUND_1"/>
    <d v="2025-08-15T00:00:00"/>
    <d v="2025-06-12T00:00:00"/>
    <s v="EAST"/>
    <s v="E03"/>
    <s v="ENUM_02"/>
    <s v="yes"/>
    <s v="25_34"/>
    <s v="woman"/>
    <n v="1"/>
    <s v="no"/>
    <x v="1"/>
    <m/>
    <s v=""/>
    <m/>
    <m/>
    <m/>
    <s v=""/>
    <n v="4"/>
    <s v="no"/>
    <s v=""/>
    <s v=""/>
    <n v="16"/>
    <x v="2"/>
    <s v="Round 1"/>
    <s v="UNMAPPED"/>
    <s v="UNMAPPED"/>
  </r>
  <r>
    <s v="SUB-0291"/>
    <s v="SYN-0291"/>
    <s v="yes"/>
    <s v="1.0.0"/>
    <s v="ROUND_2"/>
    <d v="2025-05-25T00:00:00"/>
    <d v="2025-01-15T00:00:00"/>
    <s v="SOUTH"/>
    <s v="S03"/>
    <s v="ENUM_04"/>
    <s v="yes"/>
    <s v="45_54"/>
    <s v="woman"/>
    <n v="4"/>
    <s v="no"/>
    <x v="0"/>
    <d v="2025-05-03T00:00:00"/>
    <s v="financial_skills"/>
    <n v="4"/>
    <n v="1"/>
    <n v="1"/>
    <s v="no"/>
    <n v="5"/>
    <s v="no"/>
    <s v=""/>
    <s v=""/>
    <n v="16.7"/>
    <x v="4"/>
    <s v="Round 2"/>
    <s v="Financial skills"/>
    <s v="UNMAPPED"/>
  </r>
  <r>
    <s v="SUB-0306"/>
    <s v="SYN-0306"/>
    <s v="yes"/>
    <s v="1.0.0"/>
    <s v="ROUND_1"/>
    <d v="2025-09-07T00:00:00"/>
    <d v="2025-04-20T00:00:00"/>
    <s v="EAST"/>
    <s v="E02"/>
    <s v="ENUM_04"/>
    <s v="yes"/>
    <s v="55_plus"/>
    <s v="man"/>
    <n v="6"/>
    <s v="no"/>
    <x v="0"/>
    <d v="2025-07-31T00:00:00"/>
    <s v="financial_skills"/>
    <n v="5"/>
    <n v="4"/>
    <n v="4"/>
    <s v="yes"/>
    <n v="4"/>
    <s v="no"/>
    <s v=""/>
    <s v=""/>
    <n v="18.100000000000001"/>
    <x v="2"/>
    <s v="Round 1"/>
    <s v="Financial skills"/>
    <s v="UNMAPPED"/>
  </r>
  <r>
    <s v="SUB-0370"/>
    <s v="SYN-0370"/>
    <s v="yes"/>
    <s v="1.0.0"/>
    <s v="ROUND_2"/>
    <d v="2025-05-18T00:00:00"/>
    <d v="2025-04-07T00:00:00"/>
    <s v="WEST"/>
    <s v="W01"/>
    <s v="ENUM_07"/>
    <s v="yes"/>
    <s v="45_54"/>
    <s v="woman"/>
    <n v="6"/>
    <s v="no"/>
    <x v="0"/>
    <d v="2025-04-19T00:00:00"/>
    <s v="planning"/>
    <n v="2"/>
    <n v="2"/>
    <n v="3"/>
    <s v="yes"/>
    <n v="4"/>
    <s v="no"/>
    <s v=""/>
    <s v="The group activities helped me learn from other participants."/>
    <n v="17.7"/>
    <x v="1"/>
    <s v="Round 2"/>
    <s v="Planning"/>
    <s v="UNMAPPED"/>
  </r>
  <r>
    <s v="SUB-0363"/>
    <s v="SYN-0363"/>
    <s v="yes"/>
    <s v="1.0.0"/>
    <s v="ROUND_2"/>
    <d v="2025-05-29T00:00:00"/>
    <d v="2025-01-23T00:00:00"/>
    <s v="NORTH"/>
    <s v="N02"/>
    <s v="ENUM_04"/>
    <s v="yes"/>
    <s v="25_34"/>
    <s v="woman"/>
    <n v="6"/>
    <s v="no"/>
    <x v="0"/>
    <d v="2025-04-26T00:00:00"/>
    <s v="digital_skills"/>
    <n v="4"/>
    <n v="2"/>
    <n v="4"/>
    <s v="yes"/>
    <n v="4"/>
    <s v="yes"/>
    <s v="radio"/>
    <s v=""/>
    <n v="29.3"/>
    <x v="0"/>
    <s v="Round 2"/>
    <s v="Digital skills"/>
    <s v="Radio"/>
  </r>
  <r>
    <s v="SUB-0070"/>
    <s v="SYN-0070"/>
    <s v="yes"/>
    <s v="1.0.0"/>
    <s v="ROUND_2"/>
    <d v="2025-08-11T00:00:00"/>
    <d v="2025-03-18T00:00:00"/>
    <s v="WEST"/>
    <s v="W02"/>
    <s v="ENUM_04"/>
    <s v="yes"/>
    <s v="45_54"/>
    <s v="woman"/>
    <n v="7"/>
    <s v="no"/>
    <x v="0"/>
    <d v="2025-06-08T00:00:00"/>
    <s v="leadership"/>
    <n v="3"/>
    <n v="3"/>
    <n v="3"/>
    <s v="no"/>
    <n v="2"/>
    <s v="yes"/>
    <s v="radio"/>
    <s v="Printed materials would help people who cannot attend every session."/>
    <n v="5.6"/>
    <x v="1"/>
    <s v="Round 2"/>
    <s v="Leadership"/>
    <s v="Radio"/>
  </r>
  <r>
    <s v="SUB-0364"/>
    <s v="SYN-0364"/>
    <s v="yes"/>
    <s v="1.0.0"/>
    <s v="ROUND_1"/>
    <d v="2025-04-25T00:00:00"/>
    <d v="2024-12-13T00:00:00"/>
    <s v="SOUTH"/>
    <s v="S01"/>
    <s v="ENUM_04"/>
    <s v="yes"/>
    <s v="18_24"/>
    <s v="woman"/>
    <n v="4"/>
    <s v="no"/>
    <x v="0"/>
    <d v="2024-12-17T00:00:00"/>
    <s v="leadership"/>
    <n v="4"/>
    <n v="1"/>
    <n v="1"/>
    <s v="yes"/>
    <n v="4"/>
    <s v="no"/>
    <s v=""/>
    <s v="A location closer to the community would improve attendance."/>
    <n v="18.7"/>
    <x v="4"/>
    <s v="Round 1"/>
    <s v="Leadership"/>
    <s v="UNMAPPED"/>
  </r>
  <r>
    <s v="SUB-0400"/>
    <s v="SYN-0400"/>
    <s v="yes"/>
    <s v="1.0.0"/>
    <s v="ROUND_2"/>
    <d v="2025-05-08T00:00:00"/>
    <d v="2025-03-26T00:00:00"/>
    <s v="EAST"/>
    <s v="E02"/>
    <s v="ENUM_03"/>
    <s v="yes"/>
    <s v="35_44"/>
    <s v="man"/>
    <n v="2"/>
    <s v="no"/>
    <x v="0"/>
    <d v="2025-05-02T00:00:00"/>
    <s v="planning"/>
    <n v="4"/>
    <n v="1"/>
    <n v="2"/>
    <s v="no"/>
    <n v="2"/>
    <s v="yes"/>
    <s v="radio"/>
    <s v=""/>
    <n v="11.4"/>
    <x v="2"/>
    <s v="Round 2"/>
    <s v="Planning"/>
    <s v="Radio"/>
  </r>
  <r>
    <s v="SUB-0009"/>
    <s v="SYN-0009"/>
    <s v="yes"/>
    <s v="1.0.0"/>
    <s v="ROUND_1"/>
    <d v="2025-07-21T00:00:00"/>
    <d v="2025-06-06T00:00:00"/>
    <s v="SOUTH"/>
    <s v="S02"/>
    <s v="ENUM_04"/>
    <s v="yes"/>
    <s v="18_24"/>
    <s v="woman"/>
    <n v="3"/>
    <s v="no"/>
    <x v="0"/>
    <d v="2024-12-15T00:00:00"/>
    <s v="planning"/>
    <n v="4"/>
    <n v="2"/>
    <n v="4"/>
    <s v="yes"/>
    <n v="4"/>
    <s v="yes"/>
    <s v="community_meeting"/>
    <s v=""/>
    <n v="11.6"/>
    <x v="4"/>
    <s v="Round 1"/>
    <s v="Planning"/>
    <s v="Community meeting"/>
  </r>
  <r>
    <s v="SUB-0384"/>
    <s v="SYN-0384"/>
    <s v="yes"/>
    <s v="1.0.0"/>
    <s v="ROUND_1"/>
    <d v="2025-09-20T00:00:00"/>
    <d v="2025-08-02T00:00:00"/>
    <s v="NORTH"/>
    <s v="N03"/>
    <s v="ENUM_06"/>
    <s v="yes"/>
    <s v="25_34"/>
    <s v="man"/>
    <n v="2"/>
    <s v="no"/>
    <x v="1"/>
    <m/>
    <s v=""/>
    <m/>
    <m/>
    <m/>
    <s v=""/>
    <n v="3"/>
    <s v="no"/>
    <s v=""/>
    <s v=""/>
    <n v="9.1999999999999993"/>
    <x v="0"/>
    <s v="Round 1"/>
    <s v="UNMAPPED"/>
    <s v="UNMAPPED"/>
  </r>
  <r>
    <s v="SUB-0022"/>
    <s v="SYN-0022"/>
    <s v="yes"/>
    <s v="1.0.0"/>
    <s v="ROUND_2"/>
    <d v="2025-07-30T00:00:00"/>
    <d v="2025-03-19T00:00:00"/>
    <s v="WEST"/>
    <s v="W03"/>
    <s v="ENUM_02"/>
    <s v="yes"/>
    <s v="55_plus"/>
    <s v="man"/>
    <n v="5"/>
    <s v="no"/>
    <x v="0"/>
    <d v="2025-03-23T00:00:00"/>
    <s v="digital_skills"/>
    <n v="4"/>
    <n v="3"/>
    <n v="4"/>
    <s v="yes"/>
    <n v="3"/>
    <s v="yes"/>
    <s v="community_meeting"/>
    <s v=""/>
    <n v="16"/>
    <x v="1"/>
    <s v="Round 2"/>
    <s v="Digital skills"/>
    <s v="Community meeting"/>
  </r>
  <r>
    <s v="SUB-0074"/>
    <s v="SYN-0074"/>
    <s v="yes"/>
    <s v="1.0.0"/>
    <s v="ROUND_1"/>
    <d v="2025-08-26T00:00:00"/>
    <d v="2025-05-27T00:00:00"/>
    <s v="SOUTH"/>
    <s v="S03"/>
    <s v="ENUM_06"/>
    <s v="yes"/>
    <s v="25_34"/>
    <s v="woman"/>
    <n v="6"/>
    <s v="no"/>
    <x v="0"/>
    <d v="2025-08-16T00:00:00"/>
    <s v="financial_skills"/>
    <n v="4"/>
    <n v="1"/>
    <n v="2"/>
    <s v="yes"/>
    <n v="4"/>
    <s v="no"/>
    <s v=""/>
    <s v="Travel to the meeting location was difficult during bad weather."/>
    <n v="21.8"/>
    <x v="4"/>
    <s v="Round 1"/>
    <s v="Financial skills"/>
    <s v="UNMAPPED"/>
  </r>
  <r>
    <s v="SUB-0276"/>
    <s v="SYN-0276"/>
    <s v="yes"/>
    <s v="1.0.0"/>
    <s v="ROUND_1"/>
    <d v="2025-09-23T00:00:00"/>
    <d v="2025-05-16T00:00:00"/>
    <s v="EAST"/>
    <s v="E03"/>
    <s v="ENUM_02"/>
    <s v="yes"/>
    <s v="25_34"/>
    <s v="man"/>
    <n v="3"/>
    <s v="no"/>
    <x v="0"/>
    <d v="2025-07-02T00:00:00"/>
    <s v="digital_skills"/>
    <n v="4"/>
    <n v="1"/>
    <n v="1"/>
    <s v="no"/>
    <n v="4"/>
    <s v="no"/>
    <s v=""/>
    <s v=""/>
    <n v="21.4"/>
    <x v="2"/>
    <s v="Round 1"/>
    <s v="Digital skills"/>
    <s v="UNMAPPED"/>
  </r>
  <r>
    <s v="SUB-0227"/>
    <s v="SYN-0227"/>
    <s v="yes"/>
    <s v="1.0.0"/>
    <s v="ROUND_2"/>
    <d v="2025-06-12T00:00:00"/>
    <d v="2025-04-20T00:00:00"/>
    <s v="SOUTH"/>
    <s v="S02"/>
    <s v="ENUM_03"/>
    <s v="yes"/>
    <s v="45_54"/>
    <s v="woman"/>
    <n v="7"/>
    <s v="no"/>
    <x v="0"/>
    <d v="2025-05-13T00:00:00"/>
    <s v="financial_skills"/>
    <n v="4"/>
    <n v="1"/>
    <n v="2"/>
    <s v="yes"/>
    <n v="2"/>
    <s v="no"/>
    <s v=""/>
    <s v=""/>
    <n v="18.899999999999999"/>
    <x v="4"/>
    <s v="Round 2"/>
    <s v="Financial skills"/>
    <s v="UNMAPPED"/>
  </r>
  <r>
    <s v="SUB-0245"/>
    <s v="SYN-0245"/>
    <s v="yes"/>
    <s v="1.0.0"/>
    <s v="ROUND_1"/>
    <d v="2025-09-05T00:00:00"/>
    <d v="2025-06-25T00:00:00"/>
    <s v="NORTH"/>
    <s v="N02"/>
    <s v="ENUM_02"/>
    <s v="yes"/>
    <s v="45_54"/>
    <s v="man"/>
    <n v="3"/>
    <s v="no"/>
    <x v="0"/>
    <d v="2025-08-04T00:00:00"/>
    <s v="planning"/>
    <n v="4"/>
    <n v="3"/>
    <n v="4"/>
    <s v="no"/>
    <n v="3"/>
    <s v="no"/>
    <s v="radio"/>
    <s v="More time for questions and practice would improve the training."/>
    <n v="25.5"/>
    <x v="0"/>
    <s v="Round 1"/>
    <s v="Planning"/>
    <s v="Radio"/>
  </r>
  <r>
    <s v="SUB-0325"/>
    <s v="SYN-0325"/>
    <s v="yes"/>
    <s v="1.0.0"/>
    <s v="ROUND_1"/>
    <d v="2025-06-14T00:00:00"/>
    <d v="2025-02-21T00:00:00"/>
    <s v="SOUTH"/>
    <s v="S01"/>
    <s v="ENUM_02"/>
    <s v="yes"/>
    <s v="35_44"/>
    <s v="man"/>
    <n v="4"/>
    <s v="yes"/>
    <x v="0"/>
    <d v="2025-04-01T00:00:00"/>
    <s v="digital_skills"/>
    <n v="3"/>
    <n v="1"/>
    <n v="2"/>
    <s v="no"/>
    <n v="4"/>
    <s v="yes"/>
    <s v="radio"/>
    <s v=""/>
    <n v="14.7"/>
    <x v="4"/>
    <s v="Round 1"/>
    <s v="Digital skills"/>
    <s v="Radio"/>
  </r>
  <r>
    <s v="SUB-0348"/>
    <s v="SYN-0348"/>
    <s v="yes"/>
    <s v="1.0.0"/>
    <s v="ROUND_2"/>
    <d v="2025-08-02T00:00:00"/>
    <d v="2025-05-20T00:00:00"/>
    <s v="SOUTH"/>
    <s v="S03"/>
    <s v="ENUM_05"/>
    <s v="yes"/>
    <s v="25_34"/>
    <s v="woman"/>
    <n v="4"/>
    <s v="no"/>
    <x v="1"/>
    <m/>
    <s v=""/>
    <m/>
    <m/>
    <m/>
    <s v=""/>
    <n v="2"/>
    <s v="no"/>
    <s v=""/>
    <s v=""/>
    <n v="24.9"/>
    <x v="4"/>
    <s v="Round 2"/>
    <s v="UNMAPPED"/>
    <s v="UNMAPPED"/>
  </r>
  <r>
    <s v="SUB-0353"/>
    <s v="SYN-0353"/>
    <s v="yes"/>
    <s v="1.0.0"/>
    <s v="ROUND_2"/>
    <d v="2025-08-30T00:00:00"/>
    <d v="2025-06-02T00:00:00"/>
    <s v="NORTH"/>
    <s v="S01"/>
    <s v="ENUM_07"/>
    <s v="yes"/>
    <s v="45_54"/>
    <s v="woman"/>
    <n v="5"/>
    <s v="no"/>
    <x v="1"/>
    <m/>
    <s v=""/>
    <m/>
    <m/>
    <m/>
    <s v=""/>
    <n v="4"/>
    <s v="yes"/>
    <s v="printed_material"/>
    <s v=""/>
    <n v="11.7"/>
    <x v="0"/>
    <s v="Round 2"/>
    <s v="UNMAPPED"/>
    <s v="Printed material"/>
  </r>
  <r>
    <s v="SUB-0222"/>
    <s v="SYN-0222"/>
    <s v="yes"/>
    <s v="1.0.0"/>
    <s v="ROUND_2"/>
    <d v="2025-08-21T00:00:00"/>
    <d v="2025-03-26T00:00:00"/>
    <s v="WEST"/>
    <s v="W02"/>
    <s v="ENUM_06"/>
    <s v="yes"/>
    <s v="35_44"/>
    <s v="woman"/>
    <n v="4"/>
    <s v="yes"/>
    <x v="1"/>
    <m/>
    <s v=""/>
    <m/>
    <m/>
    <m/>
    <s v=""/>
    <n v="5"/>
    <s v="no"/>
    <s v=""/>
    <s v=""/>
    <n v="14.2"/>
    <x v="1"/>
    <s v="Round 2"/>
    <s v="UNMAPPED"/>
    <s v="UNMAPPED"/>
  </r>
  <r>
    <s v="SUB-0164"/>
    <s v="SYN-0164"/>
    <s v="yes"/>
    <s v="1.0.0"/>
    <s v="ROUND_1"/>
    <d v="2025-06-04T00:00:00"/>
    <d v="2025-01-24T00:00:00"/>
    <s v="EAST"/>
    <s v="E02"/>
    <s v="ENUM_05"/>
    <s v="yes"/>
    <s v="35_44"/>
    <s v="woman"/>
    <n v="6"/>
    <s v="no"/>
    <x v="0"/>
    <d v="2025-01-27T00:00:00"/>
    <s v="digital_skills"/>
    <n v="4"/>
    <n v="4"/>
    <n v="5"/>
    <s v="no"/>
    <n v="5"/>
    <s v="no"/>
    <s v=""/>
    <s v=""/>
    <n v="18.5"/>
    <x v="2"/>
    <s v="Round 1"/>
    <s v="Digital skills"/>
    <s v="UNMAPPED"/>
  </r>
  <r>
    <s v="SUB-0202"/>
    <s v="SYN-0202"/>
    <s v="yes"/>
    <s v="1.0.0"/>
    <s v="ROUND_1"/>
    <d v="2025-07-03T00:00:00"/>
    <d v="2025-03-04T00:00:00"/>
    <s v="SOUTH"/>
    <s v="S02"/>
    <s v="ENUM_07"/>
    <s v="yes"/>
    <s v="25_34"/>
    <s v="man"/>
    <n v="5"/>
    <s v="no"/>
    <x v="1"/>
    <m/>
    <s v=""/>
    <m/>
    <m/>
    <m/>
    <s v=""/>
    <n v="3"/>
    <s v="no"/>
    <s v=""/>
    <s v=""/>
    <n v="18.2"/>
    <x v="4"/>
    <s v="Round 1"/>
    <s v="UNMAPPED"/>
    <s v="UNMAPPED"/>
  </r>
  <r>
    <s v="SUB-0124"/>
    <s v="SYN-0124"/>
    <s v="yes"/>
    <s v="1.0.0"/>
    <s v="ROUND_2"/>
    <d v="2025-08-21T00:00:00"/>
    <d v="2025-05-15T00:00:00"/>
    <s v="WEST"/>
    <s v="W01"/>
    <s v="ENUM_07"/>
    <s v="yes"/>
    <s v="25_34"/>
    <s v="man"/>
    <n v="4"/>
    <s v="no"/>
    <x v="0"/>
    <d v="2025-05-27T00:00:00"/>
    <s v="planning"/>
    <n v="5"/>
    <n v="3"/>
    <n v="5"/>
    <s v="yes"/>
    <n v="4"/>
    <s v="no"/>
    <s v=""/>
    <s v=""/>
    <n v="18"/>
    <x v="1"/>
    <s v="Round 2"/>
    <s v="Planning"/>
    <s v="UNMAPPED"/>
  </r>
  <r>
    <s v="SUB-0176"/>
    <s v="SYN-0176"/>
    <s v="yes"/>
    <s v="1.0.0"/>
    <s v="ROUND_2"/>
    <d v="2025-06-26T00:00:00"/>
    <d v="2025-03-15T00:00:00"/>
    <s v="SOUTH"/>
    <s v="S03"/>
    <s v="ENUM_08"/>
    <s v="yes"/>
    <s v="25_34"/>
    <s v="woman"/>
    <n v="6"/>
    <s v="no"/>
    <x v="1"/>
    <m/>
    <s v=""/>
    <m/>
    <m/>
    <m/>
    <s v=""/>
    <n v="5"/>
    <s v="yes"/>
    <s v="community_meeting"/>
    <s v=""/>
    <n v="11.8"/>
    <x v="4"/>
    <s v="Round 2"/>
    <s v="UNMAPPED"/>
    <s v="Community meeting"/>
  </r>
  <r>
    <s v="SUB-0398"/>
    <s v="SYN-0398"/>
    <s v="yes"/>
    <s v="1.0.0"/>
    <s v="ROUND_2"/>
    <d v="2025-07-16T00:00:00"/>
    <d v="2025-05-25T00:00:00"/>
    <s v="SOUTH"/>
    <s v="S01"/>
    <s v="ENUM_07"/>
    <s v="yes"/>
    <s v="35_44"/>
    <s v="man"/>
    <n v="4"/>
    <s v="no"/>
    <x v="0"/>
    <d v="2025-05-30T00:00:00"/>
    <s v="financial_skills"/>
    <n v="4"/>
    <n v="2"/>
    <n v="3"/>
    <s v="yes"/>
    <n v="1"/>
    <s v="no"/>
    <s v=""/>
    <s v="The facilitator explained the topic clearly and respectfully."/>
    <n v="19.899999999999999"/>
    <x v="4"/>
    <s v="Round 2"/>
    <s v="Financial skills"/>
    <s v="UNMAPPED"/>
  </r>
  <r>
    <s v="SUB-0319"/>
    <s v="SYN-0319"/>
    <s v="yes"/>
    <s v="1.0.0"/>
    <s v="ROUND_2"/>
    <d v="2025-05-11T00:00:00"/>
    <d v="2024-12-28T00:00:00"/>
    <s v="WEST"/>
    <s v="W01"/>
    <s v="ENUM_03"/>
    <s v="yes"/>
    <s v="25_34"/>
    <s v="woman"/>
    <n v="2"/>
    <s v="no"/>
    <x v="0"/>
    <d v="2024-12-28T00:00:00"/>
    <s v="planning"/>
    <n v="4"/>
    <n v="1"/>
    <n v="2"/>
    <s v="no"/>
    <n v="5"/>
    <s v="no"/>
    <s v=""/>
    <s v=""/>
    <n v="22.2"/>
    <x v="1"/>
    <s v="Round 2"/>
    <s v="Planning"/>
    <s v="UNMAPPED"/>
  </r>
  <r>
    <s v="SUB-0109"/>
    <s v="SYN-0109"/>
    <s v="yes"/>
    <s v="1.0.0"/>
    <s v="ROUND_1"/>
    <d v="2025-07-16T00:00:00"/>
    <d v="2025-03-03T00:00:00"/>
    <s v="SOUTH"/>
    <s v="S02"/>
    <s v="ENUM_08"/>
    <s v="yes"/>
    <s v="35_44"/>
    <s v="man"/>
    <n v="7"/>
    <s v="no"/>
    <x v="1"/>
    <m/>
    <s v=""/>
    <m/>
    <m/>
    <m/>
    <s v=""/>
    <n v="4"/>
    <s v="no"/>
    <s v=""/>
    <s v=""/>
    <n v="16.100000000000001"/>
    <x v="4"/>
    <s v="Round 1"/>
    <s v="UNMAPPED"/>
    <s v="UNMAPPED"/>
  </r>
  <r>
    <s v="SUB-0186"/>
    <s v="SYN-0186"/>
    <s v="yes"/>
    <s v="1.0.0"/>
    <s v="ROUND_2"/>
    <d v="2025-06-25T00:00:00"/>
    <d v="2025-03-27T00:00:00"/>
    <s v="SOUTH"/>
    <s v="S01"/>
    <s v="ENUM_07"/>
    <s v="yes"/>
    <s v="18_24"/>
    <s v="woman"/>
    <n v="5"/>
    <s v="no"/>
    <x v="0"/>
    <d v="2025-06-03T00:00:00"/>
    <s v="digital_skills"/>
    <n v="4"/>
    <n v="1"/>
    <n v="3"/>
    <s v="yes"/>
    <n v="2"/>
    <s v="yes"/>
    <s v="radio"/>
    <s v="The practical examples made the sessions easier to understand."/>
    <n v="30.9"/>
    <x v="4"/>
    <s v="Round 2"/>
    <s v="Digital skills"/>
    <s v="Radio"/>
  </r>
  <r>
    <s v="SUB-0265"/>
    <s v="SYN-0265"/>
    <s v="yes"/>
    <s v="1.0.0"/>
    <s v="ROUND_1"/>
    <d v="2025-07-07T00:00:00"/>
    <d v="2025-03-20T00:00:00"/>
    <s v="EAST"/>
    <s v="E01"/>
    <s v="ENUM_03"/>
    <s v="yes"/>
    <s v="45_54"/>
    <s v="woman"/>
    <n v="4"/>
    <s v="no"/>
    <x v="1"/>
    <m/>
    <s v=""/>
    <m/>
    <m/>
    <m/>
    <s v=""/>
    <n v="4"/>
    <s v="no"/>
    <s v=""/>
    <s v=""/>
    <n v="13.8"/>
    <x v="2"/>
    <s v="Round 1"/>
    <s v="UNMAPPED"/>
    <s v="UNMAPPED"/>
  </r>
  <r>
    <s v="SUB-0311"/>
    <s v="SYN-0311"/>
    <s v="yes"/>
    <s v="1.0.0"/>
    <s v="ROUND_2"/>
    <d v="2025-06-08T00:00:00"/>
    <d v="2025-04-16T00:00:00"/>
    <s v="NORTH"/>
    <s v="N01"/>
    <s v="ENUM_06"/>
    <s v="yes"/>
    <s v=""/>
    <s v="woman"/>
    <n v="3"/>
    <s v="no"/>
    <x v="1"/>
    <m/>
    <s v=""/>
    <m/>
    <m/>
    <m/>
    <s v=""/>
    <n v="5"/>
    <s v="no"/>
    <s v=""/>
    <s v=""/>
    <n v="11.1"/>
    <x v="0"/>
    <s v="Round 2"/>
    <s v="UNMAPPED"/>
    <s v="UNMAPPED"/>
  </r>
  <r>
    <s v="SUB-0112"/>
    <s v="SYN-0112"/>
    <s v="yes"/>
    <s v="1.0.0"/>
    <s v="ROUND_1"/>
    <d v="2025-07-24T00:00:00"/>
    <d v="2025-03-14T00:00:00"/>
    <s v="WEST"/>
    <s v="W01"/>
    <s v="ENUM_07"/>
    <s v="yes"/>
    <s v="18_24"/>
    <s v="non_binary"/>
    <n v="3"/>
    <s v="no"/>
    <x v="1"/>
    <m/>
    <s v=""/>
    <m/>
    <m/>
    <m/>
    <s v=""/>
    <n v="4"/>
    <s v="yes"/>
    <s v="community_meeting"/>
    <s v=""/>
    <n v="16"/>
    <x v="1"/>
    <s v="Round 1"/>
    <s v="UNMAPPED"/>
    <s v="Community meeting"/>
  </r>
  <r>
    <s v="SUB-DUP-001"/>
    <s v="SYN-0239"/>
    <s v="yes"/>
    <s v="1.0.0"/>
    <s v="ROUND_1"/>
    <d v="2025-07-13T00:00:00"/>
    <d v="2025-06-02T00:00:00"/>
    <s v="EAST"/>
    <s v="E02"/>
    <s v="ENUM_06"/>
    <s v="yes"/>
    <s v="18_24"/>
    <s v="man"/>
    <n v="8"/>
    <s v="no"/>
    <x v="0"/>
    <d v="2025-07-12T00:00:00"/>
    <s v="planning"/>
    <n v="5"/>
    <n v="2"/>
    <n v="2"/>
    <s v="yes"/>
    <n v="4"/>
    <s v="yes"/>
    <s v="radio"/>
    <s v=""/>
    <n v="19.5"/>
    <x v="2"/>
    <s v="Round 1"/>
    <s v="Planning"/>
    <s v="Radio"/>
  </r>
  <r>
    <s v="SUB-0060"/>
    <s v="SYN-0060"/>
    <s v="yes"/>
    <s v="1.0.0"/>
    <s v="ROUND_2"/>
    <d v="2025-05-12T00:00:00"/>
    <d v="2025-03-31T00:00:00"/>
    <s v="EAST"/>
    <s v="E02"/>
    <s v="ENUM_02"/>
    <s v="yes"/>
    <s v="25_34"/>
    <s v="woman"/>
    <n v="5"/>
    <s v="no"/>
    <x v="0"/>
    <d v="2025-05-11T00:00:00"/>
    <s v="leadership"/>
    <n v="2"/>
    <n v="2"/>
    <n v="3"/>
    <s v="yes"/>
    <n v="5"/>
    <s v="no"/>
    <s v=""/>
    <s v=""/>
    <n v="19.7"/>
    <x v="2"/>
    <s v="Round 2"/>
    <s v="Leadership"/>
    <s v="UNMAPPED"/>
  </r>
  <r>
    <s v="SUB-0111"/>
    <s v="SYN-0111"/>
    <s v="yes"/>
    <s v="1.0.0"/>
    <s v="ROUND_2"/>
    <d v="2025-09-21T00:00:00"/>
    <d v="2025-08-15T00:00:00"/>
    <s v="SOUTH"/>
    <s v="S01"/>
    <s v="ENUM_05"/>
    <s v="yes"/>
    <s v="35_44"/>
    <s v="man"/>
    <n v="4"/>
    <s v="no"/>
    <x v="0"/>
    <d v="2025-08-28T00:00:00"/>
    <s v="leadership"/>
    <n v="3"/>
    <n v="1"/>
    <n v="3"/>
    <s v="no"/>
    <n v="4"/>
    <s v="yes"/>
    <s v="printed_material"/>
    <s v=""/>
    <n v="18.600000000000001"/>
    <x v="4"/>
    <s v="Round 2"/>
    <s v="Leadership"/>
    <s v="Printed material"/>
  </r>
  <r>
    <s v="SUB-0029"/>
    <s v="SYN-0029"/>
    <s v="yes"/>
    <s v="1.0.0"/>
    <s v="ROUND_2"/>
    <d v="2025-05-01T00:00:00"/>
    <d v="2024-12-08T00:00:00"/>
    <s v="EAST"/>
    <s v="E02"/>
    <s v="ENUM_04"/>
    <s v="yes"/>
    <s v="35_44"/>
    <s v="woman"/>
    <n v="10"/>
    <s v="no"/>
    <x v="0"/>
    <d v="2025-03-09T00:00:00"/>
    <s v="planning"/>
    <n v="2"/>
    <n v="4"/>
    <n v="5"/>
    <s v="yes"/>
    <n v="2"/>
    <s v="yes"/>
    <s v="radio"/>
    <s v=""/>
    <n v="21.5"/>
    <x v="2"/>
    <s v="Round 2"/>
    <s v="Planning"/>
    <s v="Radio"/>
  </r>
  <r>
    <s v="SUB-0296"/>
    <s v="SYN-0296"/>
    <s v="yes"/>
    <s v="1.0.0"/>
    <s v="ROUND_2"/>
    <d v="2025-06-05T00:00:00"/>
    <d v="2025-01-22T00:00:00"/>
    <s v="EAST"/>
    <s v="E01"/>
    <s v="ENUM_02"/>
    <s v="yes"/>
    <s v="25_34"/>
    <s v="woman"/>
    <n v="10"/>
    <s v="no"/>
    <x v="0"/>
    <d v="2025-03-04T00:00:00"/>
    <s v="planning"/>
    <n v="4"/>
    <n v="1"/>
    <n v="3"/>
    <s v="yes"/>
    <n v="4"/>
    <s v="no"/>
    <s v=""/>
    <s v=""/>
    <n v="25.6"/>
    <x v="2"/>
    <s v="Round 2"/>
    <s v="Planning"/>
    <s v="UNMAPPED"/>
  </r>
  <r>
    <s v="SUB-0027"/>
    <s v="SYN-0027"/>
    <s v="yes"/>
    <s v="1.0.0"/>
    <s v="ROUND_1"/>
    <d v="2025-07-31T00:00:00"/>
    <d v="2025-04-15T00:00:00"/>
    <s v="WEST"/>
    <s v="W02"/>
    <s v="ENUM_03"/>
    <s v="yes"/>
    <s v="25_34"/>
    <s v="woman"/>
    <n v="3"/>
    <s v="no"/>
    <x v="0"/>
    <d v="2025-05-01T00:00:00"/>
    <s v="digital_skills"/>
    <n v="4"/>
    <n v="1"/>
    <n v="3"/>
    <s v="no"/>
    <n v="3"/>
    <s v="no"/>
    <s v=""/>
    <s v="The facilitator explained the topic clearly and respectfully."/>
    <n v="33.1"/>
    <x v="1"/>
    <s v="Round 1"/>
    <s v="Digital skills"/>
    <s v="UNMAPPED"/>
  </r>
  <r>
    <s v="SUB-0137"/>
    <s v="SYN-0137"/>
    <s v="yes"/>
    <s v="1.0.0"/>
    <s v="ROUND_2"/>
    <d v="2025-09-28T00:00:00"/>
    <d v="2025-08-09T00:00:00"/>
    <s v="NORTH"/>
    <s v="N01"/>
    <s v="ENUM_06"/>
    <s v="yes"/>
    <s v="25_34"/>
    <s v="man"/>
    <n v="3"/>
    <s v="no"/>
    <x v="0"/>
    <d v="2025-09-22T00:00:00"/>
    <s v="planning"/>
    <n v="5"/>
    <n v="2"/>
    <n v="3"/>
    <s v="yes"/>
    <n v="5"/>
    <s v="no"/>
    <s v=""/>
    <s v=""/>
    <n v="25.8"/>
    <x v="0"/>
    <s v="Round 2"/>
    <s v="Planning"/>
    <s v="UNMAPPED"/>
  </r>
  <r>
    <s v="SUB-0047"/>
    <s v="SYN-0047"/>
    <s v="yes"/>
    <s v="1.0.0"/>
    <s v="ROUND_2"/>
    <d v="2025-04-01T00:00:00"/>
    <d v="2024-12-02T00:00:00"/>
    <s v="EAST"/>
    <s v="E03"/>
    <s v="ENUM_07"/>
    <s v="yes"/>
    <s v="35_44"/>
    <s v="non_binary"/>
    <n v="7"/>
    <s v="no"/>
    <x v="0"/>
    <d v="2025-03-30T00:00:00"/>
    <s v="planning"/>
    <n v="3"/>
    <n v="4"/>
    <n v="5"/>
    <s v="no"/>
    <n v="2"/>
    <s v="no"/>
    <s v=""/>
    <s v=""/>
    <n v="8.6"/>
    <x v="2"/>
    <s v="Round 2"/>
    <s v="Planning"/>
    <s v="UNMAPPED"/>
  </r>
  <r>
    <s v="SUB-0101"/>
    <s v="SYN-0101"/>
    <s v="yes"/>
    <s v="1.0.0"/>
    <s v="ROUND_2"/>
    <d v="2025-04-10T00:00:00"/>
    <d v="2024-11-26T00:00:00"/>
    <s v="WEST"/>
    <s v="W03"/>
    <s v="ENUM_02"/>
    <s v="yes"/>
    <s v="45_54"/>
    <s v="man"/>
    <n v="5"/>
    <s v="no"/>
    <x v="1"/>
    <m/>
    <s v=""/>
    <m/>
    <m/>
    <m/>
    <s v=""/>
    <n v="4"/>
    <s v="no"/>
    <s v=""/>
    <s v=""/>
    <n v="21.3"/>
    <x v="1"/>
    <s v="Round 2"/>
    <s v="UNMAPPED"/>
    <s v="UNMAPPED"/>
  </r>
  <r>
    <s v="SUB-0217"/>
    <s v="SYN-0217"/>
    <s v="yes"/>
    <s v="1.0.0"/>
    <s v="ROUND_2"/>
    <d v="2025-06-20T00:00:00"/>
    <d v="2025-01-27T00:00:00"/>
    <s v="EAST"/>
    <s v="E02"/>
    <s v="ENUM_03"/>
    <s v="yes"/>
    <s v="35_44"/>
    <s v="man"/>
    <n v="3"/>
    <s v="no"/>
    <x v="0"/>
    <d v="2025-04-24T00:00:00"/>
    <s v="financial_skills"/>
    <n v="5"/>
    <n v="2"/>
    <n v="2"/>
    <s v="no"/>
    <n v="4"/>
    <s v="no"/>
    <s v=""/>
    <s v="The group activities helped me learn from other participants."/>
    <n v="18"/>
    <x v="2"/>
    <s v="Round 2"/>
    <s v="Financial skills"/>
    <s v="UNMAPPED"/>
  </r>
  <r>
    <s v="SUB-0077"/>
    <s v="SYN-0077"/>
    <s v="yes"/>
    <s v="1.0.0"/>
    <s v="ROUND_2"/>
    <d v="2025-08-16T00:00:00"/>
    <d v="2025-04-23T00:00:00"/>
    <s v="SOUTH"/>
    <s v="S02"/>
    <s v="ENUM_08"/>
    <s v="yes"/>
    <s v="25_34"/>
    <s v="woman"/>
    <n v="9"/>
    <s v="no"/>
    <x v="1"/>
    <m/>
    <s v=""/>
    <m/>
    <m/>
    <m/>
    <s v=""/>
    <n v="2"/>
    <s v="no"/>
    <s v=""/>
    <s v=""/>
    <n v="18.600000000000001"/>
    <x v="4"/>
    <s v="Round 2"/>
    <s v="UNMAPPED"/>
    <s v="UNMAPPED"/>
  </r>
  <r>
    <s v="SUB-0053"/>
    <s v="SYN-0053"/>
    <s v="yes"/>
    <s v="1.0.0"/>
    <s v=""/>
    <m/>
    <m/>
    <s v=""/>
    <s v=""/>
    <s v=""/>
    <s v="no"/>
    <s v=""/>
    <s v=""/>
    <m/>
    <s v=""/>
    <x v="2"/>
    <m/>
    <s v=""/>
    <m/>
    <m/>
    <m/>
    <s v=""/>
    <m/>
    <s v=""/>
    <s v=""/>
    <s v=""/>
    <m/>
    <x v="3"/>
    <s v="UNMAPPED"/>
    <s v="UNMAPPED"/>
    <s v="UNMAPPED"/>
  </r>
  <r>
    <s v="SUB-0294"/>
    <s v="SYN-0294"/>
    <s v="yes"/>
    <s v="1.0.0"/>
    <s v="ROUND_1"/>
    <d v="2025-05-24T00:00:00"/>
    <d v="2025-02-08T00:00:00"/>
    <s v="EAST"/>
    <s v="E01"/>
    <s v="ENUM_04"/>
    <s v="yes"/>
    <s v="18_24"/>
    <s v="woman"/>
    <n v="3"/>
    <s v="no"/>
    <x v="0"/>
    <d v="2025-03-22T00:00:00"/>
    <s v="leadership"/>
    <n v="5"/>
    <n v="2"/>
    <n v="3"/>
    <s v="yes"/>
    <n v="3"/>
    <s v="yes"/>
    <s v="community_meeting"/>
    <s v=""/>
    <n v="9.5"/>
    <x v="2"/>
    <s v="Round 1"/>
    <s v="Leadership"/>
    <s v="Community meeting"/>
  </r>
  <r>
    <s v="SUB-0110"/>
    <s v="SYN-0110"/>
    <s v="yes"/>
    <s v="1.0.0"/>
    <s v="ROUND_2"/>
    <d v="2025-04-16T00:00:00"/>
    <d v="2025-03-02T00:00:00"/>
    <s v="EAST"/>
    <s v="E03"/>
    <s v="ENUM_06"/>
    <s v="yes"/>
    <s v="45_54"/>
    <s v="woman"/>
    <n v="3"/>
    <s v="no"/>
    <x v="0"/>
    <d v="2025-03-15T00:00:00"/>
    <s v="planning"/>
    <n v="4"/>
    <n v="1"/>
    <n v="2"/>
    <s v="yes"/>
    <n v="3"/>
    <s v="no"/>
    <s v=""/>
    <s v=""/>
    <n v="22.8"/>
    <x v="2"/>
    <s v="Round 2"/>
    <s v="Planning"/>
    <s v="UNMAPPED"/>
  </r>
  <r>
    <s v="SUB-0092"/>
    <s v="SYN-0092"/>
    <s v="yes"/>
    <s v="1.0.0"/>
    <s v="ROUND_2"/>
    <d v="2025-07-23T00:00:00"/>
    <d v="2025-05-12T00:00:00"/>
    <s v="EAST"/>
    <s v="E02"/>
    <s v="ENUM_01"/>
    <s v="yes"/>
    <s v="45_54"/>
    <s v="man"/>
    <n v="4"/>
    <s v="no"/>
    <x v="0"/>
    <d v="2025-06-27T00:00:00"/>
    <s v="leadership"/>
    <n v="2"/>
    <n v="2"/>
    <n v="3"/>
    <s v="no"/>
    <n v="5"/>
    <s v="no"/>
    <s v=""/>
    <s v=""/>
    <n v="17.5"/>
    <x v="2"/>
    <s v="Round 2"/>
    <s v="Leadership"/>
    <s v="UNMAPPED"/>
  </r>
  <r>
    <s v="SUB-0374"/>
    <s v="SYN-0374"/>
    <s v="yes"/>
    <s v="1.0.0"/>
    <s v="ROUND_2"/>
    <d v="2025-04-18T00:00:00"/>
    <d v="2024-12-24T00:00:00"/>
    <s v="EAST"/>
    <s v="E01"/>
    <s v="ENUM_08"/>
    <s v="yes"/>
    <s v="18_24"/>
    <s v="woman"/>
    <n v="4"/>
    <s v="no"/>
    <x v="1"/>
    <m/>
    <s v=""/>
    <m/>
    <m/>
    <m/>
    <s v=""/>
    <n v="3"/>
    <s v="yes"/>
    <s v="community_meeting"/>
    <s v=""/>
    <n v="4.2"/>
    <x v="2"/>
    <s v="Round 2"/>
    <s v="UNMAPPED"/>
    <s v="Community meeting"/>
  </r>
  <r>
    <s v="SUB-0373"/>
    <s v="SYN-0373"/>
    <s v="yes"/>
    <s v="1.0.0"/>
    <s v="ROUND_1"/>
    <d v="2025-08-22T00:00:00"/>
    <d v="2025-05-26T00:00:00"/>
    <s v="NORTH"/>
    <s v="N02"/>
    <s v="ENUM_03"/>
    <s v="yes"/>
    <s v="25_34"/>
    <s v="woman"/>
    <n v="5"/>
    <s v="no"/>
    <x v="0"/>
    <d v="2025-07-23T00:00:00"/>
    <s v="financial_skills"/>
    <n v="1"/>
    <n v="3"/>
    <n v="5"/>
    <s v="yes"/>
    <n v="1"/>
    <s v="yes"/>
    <s v="radio"/>
    <s v=""/>
    <n v="25.4"/>
    <x v="0"/>
    <s v="Round 1"/>
    <s v="Financial skills"/>
    <s v="Radio"/>
  </r>
  <r>
    <s v="SUB-0338"/>
    <s v="SYN-0338"/>
    <s v="yes"/>
    <s v="1.0.0"/>
    <s v="ROUND_2"/>
    <d v="2025-08-29T00:00:00"/>
    <d v="2025-04-13T00:00:00"/>
    <s v="NORTH"/>
    <s v="N02"/>
    <s v="ENUM_04"/>
    <s v="yes"/>
    <s v="35_44"/>
    <s v="man"/>
    <n v="5"/>
    <s v="no"/>
    <x v="0"/>
    <d v="2025-05-21T00:00:00"/>
    <s v="digital_skills"/>
    <n v="4"/>
    <n v="2"/>
    <n v="3"/>
    <s v="yes"/>
    <n v="1"/>
    <s v="no"/>
    <s v=""/>
    <s v=""/>
    <n v="7.1"/>
    <x v="0"/>
    <s v="Round 2"/>
    <s v="Digital skills"/>
    <s v="UNMAPPED"/>
  </r>
  <r>
    <s v="SUB-0264"/>
    <s v="SYN-0264"/>
    <s v="yes"/>
    <s v="1.0.0"/>
    <s v="ROUND_2"/>
    <d v="2025-05-04T00:00:00"/>
    <d v="2024-12-13T00:00:00"/>
    <s v="SOUTH"/>
    <s v="S01"/>
    <s v="ENUM_03"/>
    <s v="yes"/>
    <s v="45_54"/>
    <s v="man"/>
    <n v="7"/>
    <s v="no"/>
    <x v="1"/>
    <m/>
    <s v=""/>
    <m/>
    <m/>
    <m/>
    <s v=""/>
    <n v="5"/>
    <s v="yes"/>
    <s v="community_meeting"/>
    <s v=""/>
    <n v="5.4"/>
    <x v="4"/>
    <s v="Round 2"/>
    <s v="UNMAPPED"/>
    <s v="Community meeting"/>
  </r>
  <r>
    <s v="SUB-0324"/>
    <s v="SYN-0324"/>
    <s v="yes"/>
    <s v="1.0.0"/>
    <s v="ROUND_2"/>
    <d v="2025-07-20T00:00:00"/>
    <d v="2025-02-23T00:00:00"/>
    <s v="SOUTH"/>
    <s v="S02"/>
    <s v="ENUM_07"/>
    <s v="yes"/>
    <s v="25_34"/>
    <s v="man"/>
    <n v="5"/>
    <s v="no"/>
    <x v="0"/>
    <d v="2025-05-17T00:00:00"/>
    <s v="digital_skills"/>
    <n v="4"/>
    <n v="4"/>
    <n v="5"/>
    <s v="yes"/>
    <n v="2"/>
    <s v="no"/>
    <s v=""/>
    <s v=""/>
    <n v="21.4"/>
    <x v="4"/>
    <s v="Round 2"/>
    <s v="Digital skills"/>
    <s v="UNMAPPED"/>
  </r>
  <r>
    <s v="SUB-0392"/>
    <s v="SYN-0392"/>
    <s v="yes"/>
    <s v="1.0.0"/>
    <s v="ROUND_2"/>
    <d v="2025-05-17T00:00:00"/>
    <d v="2025-02-06T00:00:00"/>
    <s v="NORTH"/>
    <s v="N02"/>
    <s v="ENUM_03"/>
    <s v="yes"/>
    <s v="25_34"/>
    <s v="woman"/>
    <n v="8"/>
    <s v="no"/>
    <x v="0"/>
    <d v="2025-04-19T00:00:00"/>
    <s v="digital_skills"/>
    <n v="5"/>
    <n v="1"/>
    <n v="2"/>
    <s v="yes"/>
    <n v="2"/>
    <s v="yes"/>
    <s v="printed_material"/>
    <s v=""/>
    <n v="19"/>
    <x v="0"/>
    <s v="Round 2"/>
    <s v="Digital skills"/>
    <s v="Printed material"/>
  </r>
  <r>
    <s v="SUB-0134"/>
    <s v="SYN-0134"/>
    <s v="yes"/>
    <s v="1.0.0"/>
    <s v="ROUND_1"/>
    <d v="2025-08-24T00:00:00"/>
    <d v="2025-03-29T00:00:00"/>
    <s v="SOUTH"/>
    <s v="S02"/>
    <s v="ENUM_06"/>
    <s v="yes"/>
    <s v="35_44"/>
    <s v="man"/>
    <n v="4"/>
    <s v="no"/>
    <x v="0"/>
    <d v="2025-07-27T00:00:00"/>
    <s v="planning"/>
    <n v="3"/>
    <n v="4"/>
    <n v="5"/>
    <s v="yes"/>
    <n v="4"/>
    <s v="no"/>
    <s v=""/>
    <s v="The practical examples made the sessions easier to understand."/>
    <n v="23"/>
    <x v="4"/>
    <s v="Round 1"/>
    <s v="Planning"/>
    <s v="UNMAPPED"/>
  </r>
  <r>
    <s v="SUB-0188"/>
    <s v="SYN-0188"/>
    <s v="yes"/>
    <s v="1.0.0"/>
    <s v="ROUND_2"/>
    <d v="2025-09-04T00:00:00"/>
    <d v="2025-04-20T00:00:00"/>
    <s v="NORTH"/>
    <s v="N01"/>
    <s v="ENUM_08"/>
    <s v="yes"/>
    <s v="18_24"/>
    <s v="woman"/>
    <n v="4"/>
    <s v="no"/>
    <x v="0"/>
    <d v="2025-07-28T00:00:00"/>
    <s v="planning"/>
    <n v="5"/>
    <n v="2"/>
    <n v="3"/>
    <s v="yes"/>
    <n v="4"/>
    <s v="yes"/>
    <s v="printed_material"/>
    <s v="A follow-up session on digital tools would be helpful."/>
    <n v="15.8"/>
    <x v="0"/>
    <s v="Round 2"/>
    <s v="Planning"/>
    <s v="Printed material"/>
  </r>
  <r>
    <s v="SUB-0213"/>
    <s v="SYN-0213"/>
    <s v="yes"/>
    <s v="1.0.0"/>
    <s v="ROUND_2"/>
    <d v="2025-06-05T00:00:00"/>
    <d v="2025-03-19T00:00:00"/>
    <s v="NORTH"/>
    <s v="N03"/>
    <s v="ENUM_03"/>
    <s v="yes"/>
    <s v="35_44"/>
    <s v="man"/>
    <n v="5"/>
    <s v="no"/>
    <x v="1"/>
    <m/>
    <s v=""/>
    <m/>
    <m/>
    <m/>
    <s v=""/>
    <n v="3"/>
    <s v="no"/>
    <s v=""/>
    <s v=""/>
    <n v="22.4"/>
    <x v="0"/>
    <s v="Round 2"/>
    <s v="UNMAPPED"/>
    <s v="UNMAPPED"/>
  </r>
  <r>
    <s v="SUB-0068"/>
    <s v="SYN-0068"/>
    <s v="yes"/>
    <s v="1.0.0"/>
    <s v="ROUND_2"/>
    <d v="2025-04-16T00:00:00"/>
    <d v="2025-02-10T00:00:00"/>
    <s v="EAST"/>
    <s v="E01"/>
    <s v="ENUM_05"/>
    <s v="yes"/>
    <s v="25_34"/>
    <s v="woman"/>
    <n v="5"/>
    <s v="no"/>
    <x v="0"/>
    <d v="2025-03-07T00:00:00"/>
    <s v="digital_skills"/>
    <n v="4"/>
    <n v="1"/>
    <n v="2"/>
    <s v="yes"/>
    <n v="4"/>
    <s v="yes"/>
    <s v="radio"/>
    <s v="The practical examples made the sessions easier to understand."/>
    <n v="28.3"/>
    <x v="2"/>
    <s v="Round 2"/>
    <s v="Digital skills"/>
    <s v="Radio"/>
  </r>
  <r>
    <s v="SUB-0158"/>
    <s v="SYN-0158"/>
    <s v="yes"/>
    <s v="1.0.0"/>
    <s v="ROUND_1"/>
    <d v="2025-09-10T00:00:00"/>
    <d v="2025-06-05T00:00:00"/>
    <s v="NORTH"/>
    <s v="N01"/>
    <s v="ENUM_06"/>
    <s v="yes"/>
    <s v="45_54"/>
    <s v="man"/>
    <n v="8"/>
    <s v="no"/>
    <x v="0"/>
    <d v="2025-09-06T00:00:00"/>
    <s v="digital_skills"/>
    <n v="4"/>
    <n v="4"/>
    <n v="5"/>
    <s v="yes"/>
    <n v="3"/>
    <s v="no"/>
    <s v=""/>
    <s v=""/>
    <n v="20.5"/>
    <x v="0"/>
    <s v="Round 1"/>
    <s v="Digital skills"/>
    <s v="UNMAPPED"/>
  </r>
  <r>
    <s v="SUB-0025"/>
    <s v="SYN-0025"/>
    <s v="yes"/>
    <s v="1.0.0"/>
    <s v="ROUND_2"/>
    <d v="2025-08-23T00:00:00"/>
    <d v="2025-07-01T00:00:00"/>
    <s v="EAST"/>
    <s v="E03"/>
    <s v="ENUM_02"/>
    <s v="yes"/>
    <s v="45_54"/>
    <s v="woman"/>
    <n v="4"/>
    <s v="no"/>
    <x v="0"/>
    <d v="2025-07-17T00:00:00"/>
    <s v="planning"/>
    <n v="4"/>
    <n v="4"/>
    <n v="4"/>
    <s v="yes"/>
    <n v="3"/>
    <s v="no"/>
    <s v=""/>
    <s v=""/>
    <n v="13.6"/>
    <x v="2"/>
    <s v="Round 2"/>
    <s v="Planning"/>
    <s v="UNMAPPED"/>
  </r>
  <r>
    <s v="SUB-0147"/>
    <s v="SYN-0147"/>
    <s v="yes"/>
    <s v="1.0.0"/>
    <s v="ROUND_2"/>
    <d v="2025-05-22T00:00:00"/>
    <d v="2025-02-07T00:00:00"/>
    <s v="NORTH"/>
    <s v="N02"/>
    <s v="ENUM_08"/>
    <s v="yes"/>
    <s v="25_34"/>
    <s v="man"/>
    <n v="6"/>
    <s v="no"/>
    <x v="1"/>
    <m/>
    <s v=""/>
    <m/>
    <m/>
    <m/>
    <s v=""/>
    <n v="4"/>
    <s v="no"/>
    <s v=""/>
    <s v=""/>
    <n v="15.6"/>
    <x v="0"/>
    <s v="Round 2"/>
    <s v="UNMAPPED"/>
    <s v="UNMAPPED"/>
  </r>
  <r>
    <s v="SUB-DUP-002"/>
    <s v="SYN-0066"/>
    <s v="yes"/>
    <s v="1.0.0"/>
    <s v="ROUND_1"/>
    <d v="2025-09-15T00:00:00"/>
    <d v="2025-05-27T00:00:00"/>
    <s v="NORTH"/>
    <s v="N02"/>
    <s v="ENUM_08"/>
    <s v="yes"/>
    <s v="35_44"/>
    <s v="woman"/>
    <n v="3"/>
    <s v="no"/>
    <x v="0"/>
    <d v="2025-07-25T00:00:00"/>
    <s v="leadership"/>
    <n v="4"/>
    <n v="3"/>
    <n v="4"/>
    <s v="no"/>
    <n v="3"/>
    <s v="no"/>
    <s v=""/>
    <s v=""/>
    <n v="21.4"/>
    <x v="0"/>
    <s v="Round 1"/>
    <s v="Leadership"/>
    <s v="UNMAPPED"/>
  </r>
  <r>
    <s v="SUB-0130"/>
    <s v="SYN-0130"/>
    <s v="yes"/>
    <s v="1.0.0"/>
    <s v="ROUND_2"/>
    <d v="2025-08-26T00:00:00"/>
    <d v="2025-06-18T00:00:00"/>
    <s v="NORTH"/>
    <s v="N02"/>
    <s v="ENUM_03"/>
    <s v="yes"/>
    <s v="18_24"/>
    <s v="man"/>
    <n v="5"/>
    <s v="no"/>
    <x v="1"/>
    <m/>
    <s v=""/>
    <m/>
    <m/>
    <m/>
    <s v=""/>
    <n v="4"/>
    <s v="no"/>
    <s v=""/>
    <s v=""/>
    <n v="23.5"/>
    <x v="0"/>
    <s v="Round 2"/>
    <s v="UNMAPPED"/>
    <s v="UNMAPPED"/>
  </r>
  <r>
    <s v="SUB-0302"/>
    <s v="SYN-0302"/>
    <s v="yes"/>
    <s v="1.0.0"/>
    <s v="ROUND_1"/>
    <d v="2025-06-01T00:00:00"/>
    <d v="2025-02-21T00:00:00"/>
    <s v="WEST"/>
    <s v="W03"/>
    <s v="ENUM_05"/>
    <s v="yes"/>
    <s v="25_34"/>
    <s v="woman"/>
    <n v="5"/>
    <s v="no"/>
    <x v="0"/>
    <d v="2025-05-19T00:00:00"/>
    <s v="planning"/>
    <n v="4"/>
    <n v="1"/>
    <n v="2"/>
    <s v="yes"/>
    <n v="5"/>
    <s v="yes"/>
    <s v="community_meeting"/>
    <s v=""/>
    <n v="16.7"/>
    <x v="1"/>
    <s v="Round 1"/>
    <s v="Planning"/>
    <s v="Community meeting"/>
  </r>
  <r>
    <s v="SUB-0362"/>
    <s v="SYN-0362"/>
    <s v="yes"/>
    <s v="1.0.0"/>
    <s v="ROUND_2"/>
    <d v="2025-07-13T00:00:00"/>
    <d v="2025-05-07T00:00:00"/>
    <s v="WEST"/>
    <s v="W03"/>
    <s v="ENUM_06"/>
    <s v="yes"/>
    <s v="25_34"/>
    <s v="man"/>
    <n v="3"/>
    <s v="no"/>
    <x v="0"/>
    <d v="2025-06-09T00:00:00"/>
    <s v="financial_skills"/>
    <n v="5"/>
    <n v="1"/>
    <n v="1"/>
    <s v="yes"/>
    <n v="4"/>
    <s v="yes"/>
    <s v="community_meeting"/>
    <s v="The activity should start earlier so participants can travel home safely."/>
    <n v="21.1"/>
    <x v="1"/>
    <s v="Round 2"/>
    <s v="Financial skills"/>
    <s v="Community meeting"/>
  </r>
  <r>
    <s v="SUB-0204"/>
    <s v="SYN-0204"/>
    <s v="yes"/>
    <s v="1.0.0"/>
    <s v="ROUND_1"/>
    <d v="2025-06-20T00:00:00"/>
    <d v="2025-02-07T00:00:00"/>
    <s v="NORTH"/>
    <s v="N01"/>
    <s v="ENUM_05"/>
    <s v="yes"/>
    <s v="35_44"/>
    <s v="man"/>
    <n v="3"/>
    <s v="no"/>
    <x v="0"/>
    <d v="2025-05-28T00:00:00"/>
    <s v="financial_skills"/>
    <n v="3"/>
    <n v="4"/>
    <n v="5"/>
    <s v="yes"/>
    <n v="5"/>
    <s v="no"/>
    <s v=""/>
    <s v=""/>
    <n v="17.7"/>
    <x v="0"/>
    <s v="Round 1"/>
    <s v="Financial skills"/>
    <s v="UNMAPPED"/>
  </r>
  <r>
    <s v="SUB-0139"/>
    <s v="SYN-0139"/>
    <s v="yes"/>
    <s v="1.0.0"/>
    <s v="ROUND_1"/>
    <d v="2025-04-10T00:00:00"/>
    <d v="2024-12-25T00:00:00"/>
    <s v="WEST"/>
    <s v="W02"/>
    <s v="ENUM_03"/>
    <s v="yes"/>
    <s v="55_plus"/>
    <s v="woman"/>
    <n v="9"/>
    <s v="no"/>
    <x v="0"/>
    <d v="2025-01-24T00:00:00"/>
    <s v="digital_skills"/>
    <n v="4"/>
    <n v="3"/>
    <n v="4"/>
    <s v="no"/>
    <n v="4"/>
    <s v="no"/>
    <s v=""/>
    <s v=""/>
    <n v="26.7"/>
    <x v="1"/>
    <s v="Round 1"/>
    <s v="Digital skills"/>
    <s v="UNMAPPED"/>
  </r>
  <r>
    <s v="SUB-0221"/>
    <s v="SYN-0221"/>
    <s v="yes"/>
    <s v="1.0.0"/>
    <s v="ROUND_1"/>
    <d v="2025-07-10T00:00:00"/>
    <d v="2025-05-28T00:00:00"/>
    <s v="EAST"/>
    <s v="E03"/>
    <s v="ENUM_07"/>
    <s v="yes"/>
    <s v="25_34"/>
    <s v="woman"/>
    <n v="4"/>
    <s v="no"/>
    <x v="0"/>
    <d v="2025-07-08T00:00:00"/>
    <s v="planning"/>
    <n v="5"/>
    <n v="2"/>
    <n v="2"/>
    <s v="yes"/>
    <n v="5"/>
    <s v="no"/>
    <s v=""/>
    <s v=""/>
    <n v="17.399999999999999"/>
    <x v="2"/>
    <s v="Round 1"/>
    <s v="Planning"/>
    <s v="UNMAPPED"/>
  </r>
  <r>
    <s v="SUB-0285"/>
    <s v="SYN-0285"/>
    <s v="yes"/>
    <s v="1.0.0"/>
    <s v="ROUND_2"/>
    <d v="2025-08-28T00:00:00"/>
    <d v="2025-05-24T00:00:00"/>
    <s v="NORTH"/>
    <s v="N01"/>
    <s v="ENUM_01"/>
    <s v="yes"/>
    <s v="25_34"/>
    <s v="man"/>
    <n v="3"/>
    <s v="no"/>
    <x v="0"/>
    <d v="2025-08-23T00:00:00"/>
    <s v="digital_skills"/>
    <n v="4"/>
    <n v="3"/>
    <n v="4"/>
    <s v="no"/>
    <n v="5"/>
    <s v="yes"/>
    <s v="radio"/>
    <s v=""/>
    <n v="18.399999999999999"/>
    <x v="0"/>
    <s v="Round 2"/>
    <s v="Digital skills"/>
    <s v="Radio"/>
  </r>
  <r>
    <s v="SUB-0387"/>
    <s v="SYN-0387"/>
    <s v="yes"/>
    <s v="1.0.0"/>
    <s v="ROUND_1"/>
    <d v="2025-06-29T00:00:00"/>
    <d v="2025-03-09T00:00:00"/>
    <s v="EAST"/>
    <s v="E01"/>
    <s v="ENUM_03"/>
    <s v="yes"/>
    <s v="45_54"/>
    <s v="woman"/>
    <n v="3"/>
    <s v="no"/>
    <x v="0"/>
    <d v="2025-06-13T00:00:00"/>
    <s v="leadership"/>
    <n v="5"/>
    <n v="1"/>
    <n v="2"/>
    <s v="yes"/>
    <n v="4"/>
    <s v="no"/>
    <s v=""/>
    <s v="The session was useful, but the timing conflicted with other responsibilities."/>
    <n v="23.6"/>
    <x v="2"/>
    <s v="Round 1"/>
    <s v="Leadership"/>
    <s v="UNMAPPED"/>
  </r>
  <r>
    <s v="SUB-0303"/>
    <s v="SYN-0303"/>
    <s v="yes"/>
    <s v="1.0.0"/>
    <s v="ROUND_2"/>
    <d v="2025-07-10T00:00:00"/>
    <d v="2025-04-21T00:00:00"/>
    <s v="NORTH"/>
    <s v="N03"/>
    <s v="ENUM_05"/>
    <s v="yes"/>
    <s v="25_34"/>
    <s v="man"/>
    <n v="6"/>
    <s v="no"/>
    <x v="0"/>
    <d v="2025-06-16T00:00:00"/>
    <s v="planning"/>
    <n v="2"/>
    <n v="3"/>
    <n v="4"/>
    <s v="yes"/>
    <n v="5"/>
    <s v="no"/>
    <s v=""/>
    <s v=""/>
    <n v="7.7"/>
    <x v="0"/>
    <s v="Round 2"/>
    <s v="Planning"/>
    <s v="UNMAPPED"/>
  </r>
  <r>
    <s v="SUB-0133"/>
    <s v="SYN-0133"/>
    <s v="yes"/>
    <s v="1.0.0"/>
    <s v="ROUND_2"/>
    <d v="2025-05-27T00:00:00"/>
    <d v="2025-02-19T00:00:00"/>
    <s v="SOUTH"/>
    <s v="S01"/>
    <s v="ENUM_08"/>
    <s v="yes"/>
    <s v="45_54"/>
    <s v="woman"/>
    <n v="7"/>
    <s v="yes"/>
    <x v="0"/>
    <d v="2025-04-08T00:00:00"/>
    <s v="leadership"/>
    <n v="4"/>
    <n v="4"/>
    <n v="5"/>
    <s v="yes"/>
    <n v="2"/>
    <s v="no"/>
    <s v=""/>
    <s v=""/>
    <n v="20"/>
    <x v="4"/>
    <s v="Round 2"/>
    <s v="Leadership"/>
    <s v="UNMAPPED"/>
  </r>
  <r>
    <s v="SUB-0288"/>
    <s v="SYN-0288"/>
    <s v="yes"/>
    <s v="1.0.0"/>
    <s v="ROUND_1"/>
    <d v="2025-05-08T00:00:00"/>
    <d v="2024-12-28T00:00:00"/>
    <s v="EAST"/>
    <s v="E02"/>
    <s v="ENUM_02"/>
    <s v="yes"/>
    <s v="35_44"/>
    <s v="woman"/>
    <n v="9"/>
    <s v="no"/>
    <x v="1"/>
    <m/>
    <s v=""/>
    <m/>
    <m/>
    <m/>
    <s v=""/>
    <n v="4"/>
    <s v="no"/>
    <s v="radio"/>
    <s v=""/>
    <n v="19.600000000000001"/>
    <x v="2"/>
    <s v="Round 1"/>
    <s v="UNMAPPED"/>
    <s v="Radio"/>
  </r>
  <r>
    <s v="SUB-0014"/>
    <s v="SYN-0014"/>
    <s v="yes"/>
    <s v="1.0.0"/>
    <s v="ROUND_2"/>
    <d v="2025-06-29T00:00:00"/>
    <d v="2025-02-26T00:00:00"/>
    <s v="SOUTH"/>
    <s v="S02"/>
    <s v="ENUM_04"/>
    <s v="yes"/>
    <s v="35_44"/>
    <s v="man"/>
    <n v="6"/>
    <s v="yes"/>
    <x v="0"/>
    <d v="2025-05-31T00:00:00"/>
    <s v="digital_skills"/>
    <n v="4"/>
    <n v="1"/>
    <n v="3"/>
    <s v="no"/>
    <n v="1"/>
    <s v="no"/>
    <s v=""/>
    <s v=""/>
    <n v="8.8000000000000007"/>
    <x v="4"/>
    <s v="Round 2"/>
    <s v="Digital skills"/>
    <s v="UNMAPPED"/>
  </r>
  <r>
    <s v="SUB-0200"/>
    <s v="SYN-0200"/>
    <s v="yes"/>
    <s v="1.0.0"/>
    <s v="ROUND_1"/>
    <d v="2025-06-02T00:00:00"/>
    <d v="2025-04-29T00:00:00"/>
    <s v="WEST"/>
    <s v="W03"/>
    <s v="ENUM_06"/>
    <s v="yes"/>
    <s v="25_34"/>
    <s v="woman"/>
    <n v="5"/>
    <s v="no"/>
    <x v="1"/>
    <m/>
    <s v=""/>
    <m/>
    <m/>
    <m/>
    <s v=""/>
    <n v="5"/>
    <s v="no"/>
    <s v=""/>
    <s v=""/>
    <n v="16.2"/>
    <x v="1"/>
    <s v="Round 1"/>
    <s v="UNMAPPED"/>
    <s v="UNMAPPED"/>
  </r>
  <r>
    <s v="SUB-0093"/>
    <s v="SYN-0093"/>
    <s v="yes"/>
    <s v="1.0.0"/>
    <s v="ROUND_2"/>
    <d v="2025-08-05T00:00:00"/>
    <d v="2025-04-26T00:00:00"/>
    <s v="NORTH"/>
    <s v="N02"/>
    <s v="ENUM_02"/>
    <s v="yes"/>
    <s v="18_24"/>
    <s v="woman"/>
    <n v="11"/>
    <s v="no"/>
    <x v="1"/>
    <m/>
    <s v=""/>
    <m/>
    <m/>
    <m/>
    <s v=""/>
    <n v="4"/>
    <s v="no"/>
    <s v=""/>
    <s v=""/>
    <n v="20.5"/>
    <x v="0"/>
    <s v="Round 2"/>
    <s v="UNMAPPED"/>
    <s v="UNMAPPED"/>
  </r>
  <r>
    <s v="SUB-0334"/>
    <s v="SYN-0334"/>
    <s v="yes"/>
    <s v="1.0.0"/>
    <s v="ROUND_1"/>
    <d v="2025-07-02T00:00:00"/>
    <d v="2025-02-06T00:00:00"/>
    <s v="NORTH"/>
    <s v="N02"/>
    <s v="ENUM_08"/>
    <s v="yes"/>
    <s v="55_plus"/>
    <s v="woman"/>
    <n v="7"/>
    <s v="no"/>
    <x v="0"/>
    <d v="2025-05-12T00:00:00"/>
    <s v="financial_skills"/>
    <n v="3"/>
    <n v="4"/>
    <n v="5"/>
    <s v="yes"/>
    <n v="4"/>
    <s v="yes"/>
    <s v="printed_material"/>
    <s v=""/>
    <n v="22.3"/>
    <x v="0"/>
    <s v="Round 1"/>
    <s v="Financial skills"/>
    <s v="Printed material"/>
  </r>
  <r>
    <s v="SUB-0185"/>
    <s v="SYN-0185"/>
    <s v="yes"/>
    <s v="1.0.0"/>
    <s v="ROUND_2"/>
    <d v="2025-04-25T00:00:00"/>
    <d v="2025-03-26T00:00:00"/>
    <s v="NORTH"/>
    <s v="N03"/>
    <s v="ENUM_01"/>
    <s v="yes"/>
    <s v="35_44"/>
    <s v="woman"/>
    <n v="3"/>
    <s v="yes"/>
    <x v="1"/>
    <m/>
    <s v=""/>
    <m/>
    <m/>
    <m/>
    <s v=""/>
    <n v="2"/>
    <s v="no"/>
    <s v=""/>
    <s v=""/>
    <n v="24.7"/>
    <x v="0"/>
    <s v="Round 2"/>
    <s v="UNMAPPED"/>
    <s v="UNMAPPED"/>
  </r>
  <r>
    <s v="SUB-0039"/>
    <s v="SYN-0039"/>
    <s v="yes"/>
    <s v="1.0.0"/>
    <s v="ROUND_2"/>
    <d v="2025-09-13T00:00:00"/>
    <d v="2025-07-05T00:00:00"/>
    <s v="SOUTH"/>
    <s v="S03"/>
    <s v="ENUM_07"/>
    <s v="yes"/>
    <s v="45_54"/>
    <s v="woman"/>
    <n v="5"/>
    <s v="no"/>
    <x v="0"/>
    <d v="2025-08-04T00:00:00"/>
    <s v="financial_skills"/>
    <n v="4"/>
    <n v="3"/>
    <n v="4"/>
    <s v="yes"/>
    <n v="3"/>
    <s v="yes"/>
    <s v="printed_material"/>
    <s v=""/>
    <n v="21.3"/>
    <x v="4"/>
    <s v="Round 2"/>
    <s v="Financial skills"/>
    <s v="Printed material"/>
  </r>
  <r>
    <s v="SUB-0355"/>
    <s v="SYN-0355"/>
    <s v="yes"/>
    <s v="1.0.0"/>
    <s v="ROUND_2"/>
    <d v="2025-07-28T00:00:00"/>
    <d v="2025-05-21T00:00:00"/>
    <s v="WEST"/>
    <s v="W01"/>
    <s v="ENUM_05"/>
    <s v="yes"/>
    <s v="18_24"/>
    <s v="woman"/>
    <n v="2"/>
    <s v="no"/>
    <x v="0"/>
    <d v="2025-07-05T00:00:00"/>
    <s v="financial_skills"/>
    <n v="4"/>
    <n v="3"/>
    <n v="4"/>
    <s v="yes"/>
    <n v="3"/>
    <s v="no"/>
    <s v=""/>
    <s v=""/>
    <n v="20.5"/>
    <x v="1"/>
    <s v="Round 2"/>
    <s v="Financial skills"/>
    <s v="UNMAPPED"/>
  </r>
  <r>
    <s v="SUB-0352"/>
    <s v="SYN-0352"/>
    <s v="yes"/>
    <s v="1.0.0"/>
    <s v="ROUND_2"/>
    <d v="2025-05-07T00:00:00"/>
    <d v="2025-01-17T00:00:00"/>
    <s v="SOUTH"/>
    <s v="S03"/>
    <s v="ENUM_06"/>
    <s v="yes"/>
    <s v="45_54"/>
    <s v="man"/>
    <n v="8"/>
    <s v="no"/>
    <x v="0"/>
    <d v="2025-02-10T00:00:00"/>
    <s v="planning"/>
    <n v="4"/>
    <n v="4"/>
    <n v="5"/>
    <s v="no"/>
    <n v="4"/>
    <s v="no"/>
    <s v=""/>
    <s v=""/>
    <n v="25.8"/>
    <x v="4"/>
    <s v="Round 2"/>
    <s v="Planning"/>
    <s v="UNMAPPED"/>
  </r>
  <r>
    <s v="SUB-0166"/>
    <s v="SYN-0166"/>
    <s v="yes"/>
    <s v="1.0.0"/>
    <s v="ROUND_2"/>
    <d v="2025-09-01T00:00:00"/>
    <d v="2025-04-24T00:00:00"/>
    <s v="EAST"/>
    <s v="E02"/>
    <s v="ENUM_07"/>
    <s v="yes"/>
    <s v="18_24"/>
    <s v="prefer_not"/>
    <n v="5"/>
    <s v="no"/>
    <x v="0"/>
    <d v="2025-06-05T00:00:00"/>
    <s v="financial_skills"/>
    <n v="4"/>
    <n v="4"/>
    <n v="4"/>
    <s v="yes"/>
    <n v="3"/>
    <s v="yes"/>
    <s v="radio"/>
    <s v=""/>
    <n v="23.3"/>
    <x v="2"/>
    <s v="Round 2"/>
    <s v="Financial skills"/>
    <s v="Radio"/>
  </r>
  <r>
    <s v="SUB-0087"/>
    <s v="SYN-0087"/>
    <s v="yes"/>
    <s v="1.0.0"/>
    <s v="ROUND_2"/>
    <d v="2025-06-08T00:00:00"/>
    <d v="2025-01-26T00:00:00"/>
    <s v="WEST"/>
    <s v="W02"/>
    <s v="ENUM_05"/>
    <s v="yes"/>
    <s v="55_plus"/>
    <s v="man"/>
    <n v="8"/>
    <s v="no"/>
    <x v="0"/>
    <d v="2025-03-02T00:00:00"/>
    <s v="digital_skills"/>
    <n v="4"/>
    <n v="4"/>
    <n v="4"/>
    <s v="yes"/>
    <n v="2"/>
    <s v="yes"/>
    <s v="radio"/>
    <s v="I would like more examples about budgeting and record keeping."/>
    <n v="19.2"/>
    <x v="1"/>
    <s v="Round 2"/>
    <s v="Digital skills"/>
    <s v="Radio"/>
  </r>
  <r>
    <s v="SUB-0350"/>
    <s v="SYN-0350"/>
    <s v="yes"/>
    <s v="1.0.0"/>
    <s v="ROUND_2"/>
    <d v="2025-07-12T00:00:00"/>
    <d v="2025-03-27T00:00:00"/>
    <s v="NORTH"/>
    <s v="N02"/>
    <s v="ENUM_03"/>
    <s v="yes"/>
    <s v="25_34"/>
    <s v="woman"/>
    <n v="5"/>
    <s v="no"/>
    <x v="0"/>
    <d v="2025-06-07T00:00:00"/>
    <s v="planning"/>
    <n v="5"/>
    <n v="4"/>
    <n v="5"/>
    <s v="no"/>
    <n v="3"/>
    <s v="no"/>
    <s v=""/>
    <s v=""/>
    <n v="16.399999999999999"/>
    <x v="0"/>
    <s v="Round 2"/>
    <s v="Planning"/>
    <s v="UNMAPPED"/>
  </r>
  <r>
    <s v="SUB-0151"/>
    <s v="SYN-0151"/>
    <s v="yes"/>
    <s v="1.0.0"/>
    <s v="ROUND_1"/>
    <d v="2025-09-17T00:00:00"/>
    <d v="2025-06-11T00:00:00"/>
    <s v="WEST"/>
    <s v="W03"/>
    <s v="ENUM_03"/>
    <s v="yes"/>
    <s v="25_34"/>
    <s v="man"/>
    <n v="2"/>
    <s v="no"/>
    <x v="0"/>
    <d v="2025-06-13T00:00:00"/>
    <s v="digital_skills"/>
    <n v="3"/>
    <n v="4"/>
    <n v="5"/>
    <s v="yes"/>
    <n v="5"/>
    <s v="yes"/>
    <s v="printed_material"/>
    <s v=""/>
    <n v="13.6"/>
    <x v="1"/>
    <s v="Round 1"/>
    <s v="Digital skills"/>
    <s v="Printed material"/>
  </r>
  <r>
    <s v="SUB-0184"/>
    <s v="SYN-0184"/>
    <s v="yes"/>
    <s v="1.0.0"/>
    <s v="ROUND_2"/>
    <d v="2025-04-03T00:00:00"/>
    <d v="2025-02-24T00:00:00"/>
    <s v="WEST"/>
    <s v="W03"/>
    <s v="ENUM_03"/>
    <s v="yes"/>
    <s v="35_44"/>
    <s v="woman"/>
    <n v="7"/>
    <s v="no"/>
    <x v="0"/>
    <d v="2025-02-24T00:00:00"/>
    <s v="planning"/>
    <n v="5"/>
    <n v="1"/>
    <n v="3"/>
    <s v="yes"/>
    <n v="4"/>
    <s v="no"/>
    <s v=""/>
    <s v=""/>
    <n v="17.3"/>
    <x v="1"/>
    <s v="Round 2"/>
    <s v="Planning"/>
    <s v="UNMAPPED"/>
  </r>
  <r>
    <s v="SUB-0106"/>
    <s v="SYN-0106"/>
    <s v="yes"/>
    <s v="1.0.0"/>
    <s v="ROUND_2"/>
    <d v="2025-07-15T00:00:00"/>
    <d v="2025-03-15T00:00:00"/>
    <s v="SOUTH"/>
    <s v="S01"/>
    <s v="ENUM_01"/>
    <s v="yes"/>
    <s v="35_44"/>
    <s v="woman"/>
    <n v="9"/>
    <s v="no"/>
    <x v="0"/>
    <d v="2025-04-10T00:00:00"/>
    <s v="planning"/>
    <n v="1"/>
    <n v="2"/>
    <n v="4"/>
    <s v="yes"/>
    <n v="4"/>
    <s v="no"/>
    <s v=""/>
    <s v=""/>
    <n v="26.6"/>
    <x v="4"/>
    <s v="Round 2"/>
    <s v="Planning"/>
    <s v="UNMAPPED"/>
  </r>
  <r>
    <s v="SUB-0058"/>
    <s v="SYN-0058"/>
    <s v="yes"/>
    <s v="1.0.0"/>
    <s v="ROUND_2"/>
    <d v="2025-08-31T00:00:00"/>
    <d v="2025-04-24T00:00:00"/>
    <s v="SOUTH"/>
    <s v="S03"/>
    <s v="ENUM_01"/>
    <s v="yes"/>
    <s v="25_34"/>
    <s v="woman"/>
    <n v="3"/>
    <s v="no"/>
    <x v="1"/>
    <m/>
    <s v=""/>
    <m/>
    <m/>
    <m/>
    <s v=""/>
    <n v="5"/>
    <s v="no"/>
    <s v=""/>
    <s v=""/>
    <n v="16.899999999999999"/>
    <x v="4"/>
    <s v="Round 2"/>
    <s v="UNMAPPED"/>
    <s v="UNMAPPED"/>
  </r>
  <r>
    <s v="SUB-0258"/>
    <s v="SYN-0258"/>
    <s v="yes"/>
    <s v="1.0.0"/>
    <s v="ROUND_2"/>
    <d v="2025-05-28T00:00:00"/>
    <d v="2025-04-04T00:00:00"/>
    <s v="EAST"/>
    <s v="E02"/>
    <s v="ENUM_01"/>
    <s v="yes"/>
    <s v="25_34"/>
    <s v="man"/>
    <n v="3"/>
    <s v="no"/>
    <x v="0"/>
    <d v="2025-04-25T00:00:00"/>
    <s v="leadership"/>
    <n v="5"/>
    <n v="2"/>
    <n v="3"/>
    <s v="yes"/>
    <n v="4"/>
    <s v="no"/>
    <s v=""/>
    <s v="The session was useful, but the timing conflicted with other responsibilities."/>
    <n v="5.6"/>
    <x v="2"/>
    <s v="Round 2"/>
    <s v="Leadership"/>
    <s v="UNMAPPED"/>
  </r>
  <r>
    <s v="SUB-0051"/>
    <s v="SYN-0051"/>
    <s v="yes"/>
    <s v="1.0.0"/>
    <s v="ROUND_1"/>
    <d v="2025-05-30T00:00:00"/>
    <d v="2025-01-16T00:00:00"/>
    <s v="EAST"/>
    <s v="E01"/>
    <s v="ENUM_01"/>
    <s v="yes"/>
    <s v="45_54"/>
    <s v="woman"/>
    <n v="3"/>
    <s v="no"/>
    <x v="1"/>
    <m/>
    <s v=""/>
    <m/>
    <m/>
    <m/>
    <s v=""/>
    <n v="1"/>
    <s v="no"/>
    <s v=""/>
    <s v=""/>
    <n v="11"/>
    <x v="2"/>
    <s v="Round 1"/>
    <s v="UNMAPPED"/>
    <s v="UNMAPPED"/>
  </r>
  <r>
    <s v="SUB-0078"/>
    <s v="SYN-0078"/>
    <s v="yes"/>
    <s v="1.0.0"/>
    <s v="ROUND_2"/>
    <d v="2025-05-02T00:00:00"/>
    <d v="2025-01-06T00:00:00"/>
    <s v="WEST"/>
    <s v="W03"/>
    <s v="ENUM_03"/>
    <s v="yes"/>
    <s v="25_34"/>
    <s v="man"/>
    <n v="4"/>
    <s v="no"/>
    <x v="0"/>
    <d v="2025-04-25T00:00:00"/>
    <s v="digital_skills"/>
    <n v="3"/>
    <n v="2"/>
    <n v="4"/>
    <s v="yes"/>
    <n v="5"/>
    <s v="no"/>
    <s v=""/>
    <s v=""/>
    <n v="24.4"/>
    <x v="1"/>
    <s v="Round 2"/>
    <s v="Digital skills"/>
    <s v="UNMAPPED"/>
  </r>
  <r>
    <s v="SUB-0266"/>
    <s v="SYN-0266"/>
    <s v="yes"/>
    <s v="1.0.0"/>
    <s v="ROUND_1"/>
    <d v="2025-09-09T00:00:00"/>
    <d v="2025-06-24T00:00:00"/>
    <s v="SOUTH"/>
    <s v="S02"/>
    <s v="ENUM_02"/>
    <s v="yes"/>
    <s v="35_44"/>
    <s v="woman"/>
    <n v="6"/>
    <s v="yes"/>
    <x v="1"/>
    <m/>
    <s v=""/>
    <m/>
    <m/>
    <m/>
    <s v=""/>
    <n v="5"/>
    <s v="no"/>
    <s v=""/>
    <s v=""/>
    <n v="21.2"/>
    <x v="4"/>
    <s v="Round 1"/>
    <s v="UNMAPPED"/>
    <s v="UNMAPPED"/>
  </r>
  <r>
    <s v="SUB-0254"/>
    <s v="SYN-0254"/>
    <s v="yes"/>
    <s v="1.0.0"/>
    <s v="ROUND_2"/>
    <d v="2025-06-12T00:00:00"/>
    <d v="2025-04-21T00:00:00"/>
    <s v="NORTH"/>
    <s v="N03"/>
    <s v="ENUM_08"/>
    <s v="yes"/>
    <s v="55_plus"/>
    <s v="man"/>
    <n v="5"/>
    <s v="no"/>
    <x v="1"/>
    <m/>
    <s v=""/>
    <m/>
    <m/>
    <m/>
    <s v=""/>
    <n v="4"/>
    <s v="yes"/>
    <s v="printed_material"/>
    <s v=""/>
    <n v="4"/>
    <x v="0"/>
    <s v="Round 2"/>
    <s v="UNMAPPED"/>
    <s v="Printed material"/>
  </r>
  <r>
    <s v="SUB-0269"/>
    <s v="SYN-0269"/>
    <s v="yes"/>
    <s v="1.0.0"/>
    <s v="ROUND_2"/>
    <d v="2025-04-09T00:00:00"/>
    <d v="2025-01-28T00:00:00"/>
    <s v="WEST"/>
    <s v="W01"/>
    <s v="ENUM_08"/>
    <s v="yes"/>
    <s v="35_44"/>
    <s v="man"/>
    <n v="3"/>
    <s v="no"/>
    <x v="0"/>
    <d v="2025-03-26T00:00:00"/>
    <s v="leadership"/>
    <n v="4"/>
    <n v="3"/>
    <n v="4"/>
    <s v="yes"/>
    <n v="4"/>
    <s v="no"/>
    <s v=""/>
    <s v=""/>
    <n v="22.8"/>
    <x v="1"/>
    <s v="Round 2"/>
    <s v="Leadership"/>
    <s v="UNMAPPED"/>
  </r>
  <r>
    <s v="SUB-0153"/>
    <s v="SYN-0153"/>
    <s v="yes"/>
    <s v="1.0.0"/>
    <s v="ROUND_1"/>
    <d v="2025-04-22T00:00:00"/>
    <d v="2024-11-30T00:00:00"/>
    <s v="SOUTH"/>
    <s v="S03"/>
    <s v="ENUM_07"/>
    <s v="yes"/>
    <s v="18_24"/>
    <s v="man"/>
    <n v="3"/>
    <s v="no"/>
    <x v="0"/>
    <d v="2025-01-14T00:00:00"/>
    <s v="planning"/>
    <n v="5"/>
    <n v="2"/>
    <n v="3"/>
    <s v="no"/>
    <n v="1"/>
    <s v="yes"/>
    <s v="radio"/>
    <s v="The facilitator explained the topic clearly and respectfully."/>
    <n v="21"/>
    <x v="4"/>
    <s v="Round 1"/>
    <s v="Planning"/>
    <s v="Radio"/>
  </r>
  <r>
    <s v="SUB-0084"/>
    <s v="SYN-0084"/>
    <s v="yes"/>
    <s v="1.0.0"/>
    <s v="ROUND_2"/>
    <d v="2025-06-19T00:00:00"/>
    <d v="2025-02-19T00:00:00"/>
    <s v="EAST"/>
    <s v="E02"/>
    <s v="ENUM_04"/>
    <s v="yes"/>
    <s v="18_24"/>
    <s v="man"/>
    <n v="5"/>
    <s v="no"/>
    <x v="1"/>
    <m/>
    <s v=""/>
    <m/>
    <m/>
    <m/>
    <s v=""/>
    <n v="4"/>
    <s v="no"/>
    <s v=""/>
    <s v=""/>
    <n v="19.5"/>
    <x v="2"/>
    <s v="Round 2"/>
    <s v="UNMAPPED"/>
    <s v="UNMAPPED"/>
  </r>
  <r>
    <s v="SUB-0268"/>
    <s v="SYN-0268"/>
    <s v="yes"/>
    <s v="1.0.0"/>
    <s v="ROUND_2"/>
    <d v="2025-07-08T00:00:00"/>
    <d v="2025-03-07T00:00:00"/>
    <s v="SOUTH"/>
    <s v="S03"/>
    <s v="ENUM_03"/>
    <s v="yes"/>
    <s v="25_34"/>
    <s v="unknown_code"/>
    <n v="7"/>
    <s v="no"/>
    <x v="0"/>
    <d v="2025-06-22T00:00:00"/>
    <s v="digital_skills"/>
    <n v="3"/>
    <n v="3"/>
    <n v="4"/>
    <s v="no"/>
    <n v="4"/>
    <s v="no"/>
    <s v=""/>
    <s v=""/>
    <n v="15.7"/>
    <x v="4"/>
    <s v="Round 2"/>
    <s v="Digital skills"/>
    <s v="UNMAPPED"/>
  </r>
  <r>
    <s v="SUB-0307"/>
    <s v="SYN-0307"/>
    <s v="yes"/>
    <s v="1.0.0"/>
    <s v="ROUND_2"/>
    <d v="2025-08-04T00:00:00"/>
    <d v="2025-07-01T00:00:00"/>
    <s v="SOUTH"/>
    <s v="S03"/>
    <s v="ENUM_01"/>
    <s v="yes"/>
    <s v="25_34"/>
    <s v="man"/>
    <n v="5"/>
    <s v="no"/>
    <x v="1"/>
    <m/>
    <s v=""/>
    <m/>
    <m/>
    <m/>
    <s v=""/>
    <n v="4"/>
    <s v="no"/>
    <s v=""/>
    <s v=""/>
    <n v="21.1"/>
    <x v="4"/>
    <s v="Round 2"/>
    <s v="UNMAPPED"/>
    <s v="UNMAPPED"/>
  </r>
  <r>
    <s v="SUB-0301"/>
    <s v="SYN-0301"/>
    <s v="yes"/>
    <s v="1.0.0"/>
    <s v="ROUND_2"/>
    <d v="2025-08-13T00:00:00"/>
    <d v="2025-06-09T00:00:00"/>
    <s v="NORTH"/>
    <s v="N02"/>
    <s v="ENUM_04"/>
    <s v="yes"/>
    <s v="25_34"/>
    <s v="woman"/>
    <n v="4"/>
    <s v="no"/>
    <x v="0"/>
    <d v="2025-06-29T00:00:00"/>
    <s v="financial_skills"/>
    <n v="4"/>
    <n v="1"/>
    <n v="2"/>
    <s v="yes"/>
    <n v="4"/>
    <s v="yes"/>
    <s v="community_meeting"/>
    <s v=""/>
    <n v="17.7"/>
    <x v="0"/>
    <s v="Round 2"/>
    <s v="Financial skills"/>
    <s v="Community meeting"/>
  </r>
  <r>
    <s v="SUB-0395"/>
    <s v="SYN-0395"/>
    <s v="yes"/>
    <s v="1.0.0"/>
    <s v="ROUND_2"/>
    <d v="2025-06-03T00:00:00"/>
    <d v="2025-04-28T00:00:00"/>
    <s v="EAST"/>
    <s v="E03"/>
    <s v="ENUM_01"/>
    <s v="yes"/>
    <s v="35_44"/>
    <s v="woman"/>
    <n v="9"/>
    <s v="no"/>
    <x v="0"/>
    <d v="2025-06-03T00:00:00"/>
    <s v="digital_skills"/>
    <n v="4"/>
    <n v="4"/>
    <n v="5"/>
    <s v="yes"/>
    <n v="3"/>
    <s v="no"/>
    <s v=""/>
    <s v=""/>
    <n v="23.1"/>
    <x v="2"/>
    <s v="Round 2"/>
    <s v="Digital skills"/>
    <s v="UNMAPPED"/>
  </r>
  <r>
    <s v="SUB-0187"/>
    <s v="SYN-0187"/>
    <s v="yes"/>
    <s v="1.0.0"/>
    <s v="ROUND_2"/>
    <d v="2025-06-23T00:00:00"/>
    <d v="2025-03-15T00:00:00"/>
    <s v="EAST"/>
    <s v="E01"/>
    <s v="ENUM_05"/>
    <s v="yes"/>
    <s v="35_44"/>
    <s v="man"/>
    <n v="5"/>
    <s v="yes"/>
    <x v="0"/>
    <d v="2025-04-08T00:00:00"/>
    <s v="financial_skills"/>
    <n v="4"/>
    <n v="4"/>
    <n v="5"/>
    <s v="yes"/>
    <n v="2"/>
    <s v="yes"/>
    <s v="radio"/>
    <s v="The session was useful, but the timing conflicted with other responsibilities."/>
    <n v="12.4"/>
    <x v="2"/>
    <s v="Round 2"/>
    <s v="Financial skills"/>
    <s v="Radio"/>
  </r>
  <r>
    <s v="SUB-0253"/>
    <s v="SYN-0253"/>
    <s v="yes"/>
    <s v="1.0.0"/>
    <s v="ROUND_1"/>
    <d v="2025-07-13T00:00:00"/>
    <d v="2025-05-22T00:00:00"/>
    <s v="NORTH"/>
    <s v="N02"/>
    <s v="ENUM_06"/>
    <s v="yes"/>
    <s v="18_24"/>
    <s v="woman"/>
    <n v="5"/>
    <s v="no"/>
    <x v="1"/>
    <m/>
    <s v=""/>
    <m/>
    <m/>
    <m/>
    <s v=""/>
    <n v="4"/>
    <s v="no"/>
    <s v=""/>
    <s v=""/>
    <n v="24.6"/>
    <x v="0"/>
    <s v="Round 1"/>
    <s v="UNMAPPED"/>
    <s v="UNMAPPED"/>
  </r>
  <r>
    <s v="SUB-0118"/>
    <s v="SYN-0118"/>
    <s v="yes"/>
    <s v="1.0.0"/>
    <s v="ROUND_2"/>
    <d v="2025-06-15T00:00:00"/>
    <d v="2025-05-09T00:00:00"/>
    <s v="NORTH"/>
    <s v="N01"/>
    <s v="ENUM_04"/>
    <s v="yes"/>
    <s v="18_24"/>
    <s v="woman"/>
    <n v="5"/>
    <s v="no"/>
    <x v="0"/>
    <d v="2025-05-29T00:00:00"/>
    <s v="digital_skills"/>
    <n v="3"/>
    <n v="4"/>
    <n v="4"/>
    <s v="yes"/>
    <n v="5"/>
    <s v="no"/>
    <s v=""/>
    <s v="The activity should start earlier so participants can travel home safely."/>
    <n v="12.9"/>
    <x v="0"/>
    <s v="Round 2"/>
    <s v="Digital skills"/>
    <s v="UNMAPPED"/>
  </r>
  <r>
    <s v="SUB-0397"/>
    <s v="SYN-0397"/>
    <s v="yes"/>
    <s v="1.0.0"/>
    <s v="ROUND_2"/>
    <d v="2025-05-04T00:00:00"/>
    <d v="2024-12-19T00:00:00"/>
    <s v="EAST"/>
    <s v="E03"/>
    <s v="ENUM_03"/>
    <s v="yes"/>
    <s v="55_plus"/>
    <s v="man"/>
    <n v="3"/>
    <s v="no"/>
    <x v="0"/>
    <d v="2025-01-10T00:00:00"/>
    <s v="planning"/>
    <n v="5"/>
    <n v="1"/>
    <n v="2"/>
    <s v="yes"/>
    <n v="2"/>
    <s v="yes"/>
    <s v="community_meeting"/>
    <s v=""/>
    <n v="15.3"/>
    <x v="2"/>
    <s v="Round 2"/>
    <s v="Planning"/>
    <s v="Community meeting"/>
  </r>
  <r>
    <s v="SUB-0159"/>
    <s v="SYN-0159"/>
    <s v="yes"/>
    <s v="1.0.0"/>
    <s v="ROUND_2"/>
    <d v="2025-06-10T00:00:00"/>
    <d v="2025-05-11T00:00:00"/>
    <s v="EAST"/>
    <s v="E03"/>
    <s v="ENUM_06"/>
    <s v="yes"/>
    <s v="25_34"/>
    <s v="man"/>
    <n v="6"/>
    <s v="no"/>
    <x v="0"/>
    <d v="2025-05-31T00:00:00"/>
    <s v="financial_skills"/>
    <n v="4"/>
    <n v="1"/>
    <n v="2"/>
    <s v="no"/>
    <n v="3"/>
    <s v="no"/>
    <s v=""/>
    <s v=""/>
    <n v="14.2"/>
    <x v="2"/>
    <s v="Round 2"/>
    <s v="Financial skills"/>
    <s v="UNMAPPED"/>
  </r>
  <r>
    <s v="SUB-0290"/>
    <s v="SYN-0290"/>
    <s v="yes"/>
    <s v="1.0.0"/>
    <s v="ROUND_1"/>
    <d v="2025-04-09T00:00:00"/>
    <d v="2024-11-26T00:00:00"/>
    <s v="SOUTH"/>
    <s v="S02"/>
    <s v="ENUM_05"/>
    <s v="yes"/>
    <s v="25_34"/>
    <s v="man"/>
    <n v="7"/>
    <s v="no"/>
    <x v="0"/>
    <d v="2025-01-14T00:00:00"/>
    <s v="financial_skills"/>
    <n v="4"/>
    <n v="1"/>
    <n v="2"/>
    <s v="yes"/>
    <n v="4"/>
    <s v="no"/>
    <s v=""/>
    <s v=""/>
    <n v="20.3"/>
    <x v="4"/>
    <s v="Round 1"/>
    <s v="Financial skills"/>
    <s v="UNMAPPED"/>
  </r>
  <r>
    <s v="SUB-0129"/>
    <s v="SYN-0129"/>
    <s v="yes"/>
    <s v="1.0.0"/>
    <s v="ROUND_2"/>
    <d v="2025-04-19T00:00:00"/>
    <d v="2025-02-22T00:00:00"/>
    <s v="EAST"/>
    <s v="E03"/>
    <s v="ENUM_04"/>
    <s v="yes"/>
    <s v="35_44"/>
    <s v="man"/>
    <n v="5"/>
    <s v="no"/>
    <x v="0"/>
    <d v="2025-04-15T00:00:00"/>
    <s v="planning"/>
    <n v="4"/>
    <n v="3"/>
    <n v="4"/>
    <s v="yes"/>
    <n v="4"/>
    <s v="yes"/>
    <s v="community_meeting"/>
    <s v=""/>
    <n v="23.6"/>
    <x v="2"/>
    <s v="Round 2"/>
    <s v="Planning"/>
    <s v="Community meeting"/>
  </r>
  <r>
    <s v="SUB-0036"/>
    <s v="SYN-0036"/>
    <s v="yes"/>
    <s v="1.0.0"/>
    <s v="ROUND_1"/>
    <d v="2025-05-03T00:00:00"/>
    <d v="2025-03-10T00:00:00"/>
    <s v="WEST"/>
    <s v="W01"/>
    <s v="ENUM_06"/>
    <s v="yes"/>
    <s v="18_24"/>
    <s v="man"/>
    <n v="3"/>
    <s v="no"/>
    <x v="0"/>
    <d v="2025-04-28T00:00:00"/>
    <s v="planning"/>
    <n v="2"/>
    <n v="2"/>
    <n v="3"/>
    <s v="no"/>
    <n v="4"/>
    <s v="no"/>
    <s v=""/>
    <s v="I have already used one of the planning tools from the session."/>
    <n v="19.899999999999999"/>
    <x v="1"/>
    <s v="Round 1"/>
    <s v="Planning"/>
    <s v="UNMAPPED"/>
  </r>
  <r>
    <s v="SUB-0125"/>
    <s v="SYN-0125"/>
    <s v="yes"/>
    <s v="1.0.0"/>
    <s v="ROUND_2"/>
    <d v="2025-09-09T00:00:00"/>
    <d v="2025-06-21T00:00:00"/>
    <s v="SOUTH"/>
    <s v="S03"/>
    <s v="ENUM_03"/>
    <s v="yes"/>
    <s v="45_54"/>
    <s v="woman"/>
    <n v="4"/>
    <s v="yes"/>
    <x v="1"/>
    <m/>
    <s v=""/>
    <m/>
    <m/>
    <m/>
    <s v=""/>
    <n v="3"/>
    <s v="no"/>
    <s v=""/>
    <s v=""/>
    <n v="25.3"/>
    <x v="4"/>
    <s v="Round 2"/>
    <s v="UNMAPPED"/>
    <s v="UNMAPPED"/>
  </r>
  <r>
    <s v="SUB-0121"/>
    <s v="SYN-0121"/>
    <s v="yes"/>
    <s v="1.0.0"/>
    <s v="ROUND_1"/>
    <d v="2025-04-10T00:00:00"/>
    <d v="2025-02-12T00:00:00"/>
    <s v="SOUTH"/>
    <s v="S01"/>
    <s v="ENUM_05"/>
    <s v="yes"/>
    <s v="25_34"/>
    <s v="woman"/>
    <n v="6"/>
    <s v="no"/>
    <x v="0"/>
    <d v="2025-03-14T00:00:00"/>
    <s v="digital_skills"/>
    <n v="5"/>
    <n v="2"/>
    <n v="4"/>
    <s v="yes"/>
    <n v="3"/>
    <s v="yes"/>
    <s v="community_meeting"/>
    <s v=""/>
    <n v="18.399999999999999"/>
    <x v="4"/>
    <s v="Round 1"/>
    <s v="Digital skills"/>
    <s v="Community meeting"/>
  </r>
  <r>
    <s v="SUB-0354"/>
    <s v="SYN-0354"/>
    <s v="yes"/>
    <s v="1.0.0"/>
    <s v="ROUND_2"/>
    <d v="2025-07-15T00:00:00"/>
    <d v="2025-05-01T00:00:00"/>
    <s v="NORTH"/>
    <s v="N03"/>
    <s v="ENUM_06"/>
    <s v="yes"/>
    <s v="25_34"/>
    <s v="man"/>
    <n v="5"/>
    <s v="no"/>
    <x v="0"/>
    <d v="2025-07-09T00:00:00"/>
    <s v="planning"/>
    <n v="5"/>
    <n v="3"/>
    <n v="4"/>
    <s v="yes"/>
    <n v="4"/>
    <s v="yes"/>
    <s v="radio"/>
    <s v=""/>
    <n v="17.3"/>
    <x v="0"/>
    <s v="Round 2"/>
    <s v="Planning"/>
    <s v="Radio"/>
  </r>
  <r>
    <s v="SUB-0323"/>
    <s v="SYN-0323"/>
    <s v="yes"/>
    <s v="1.0.0"/>
    <s v="ROUND_1"/>
    <d v="2025-06-19T00:00:00"/>
    <d v="2025-05-01T00:00:00"/>
    <s v="EAST"/>
    <s v="E02"/>
    <s v="ENUM_01"/>
    <s v="yes"/>
    <s v="45_54"/>
    <s v="man"/>
    <n v="2"/>
    <s v="no"/>
    <x v="0"/>
    <d v="2025-05-11T00:00:00"/>
    <s v="digital_skills"/>
    <n v="4"/>
    <n v="1"/>
    <n v="2"/>
    <s v="yes"/>
    <n v="4"/>
    <s v="no"/>
    <s v=""/>
    <s v=""/>
    <n v="16.899999999999999"/>
    <x v="2"/>
    <s v="Round 1"/>
    <s v="Digital skills"/>
    <s v="UNMAPPED"/>
  </r>
  <r>
    <s v="SUB-0170"/>
    <s v="SYN-0170"/>
    <s v="yes"/>
    <s v="1.0.0"/>
    <s v="ROUND_1"/>
    <d v="2025-06-12T00:00:00"/>
    <d v="2025-03-29T00:00:00"/>
    <s v="EAST"/>
    <s v="E01"/>
    <s v="ENUM_07"/>
    <s v="yes"/>
    <s v="25_34"/>
    <s v="man"/>
    <n v="4"/>
    <s v="no"/>
    <x v="0"/>
    <d v="2025-04-29T00:00:00"/>
    <s v="leadership"/>
    <n v="2"/>
    <n v="1"/>
    <n v="3"/>
    <s v="yes"/>
    <n v="5"/>
    <s v="yes"/>
    <s v="printed_material"/>
    <s v=""/>
    <n v="11.7"/>
    <x v="2"/>
    <s v="Round 1"/>
    <s v="Leadership"/>
    <s v="Printed material"/>
  </r>
  <r>
    <s v="SUB-0117"/>
    <s v="SYN-0117"/>
    <s v="yes"/>
    <s v="1.0.0"/>
    <s v="ROUND_2"/>
    <d v="2025-06-09T00:00:00"/>
    <d v="2025-04-24T00:00:00"/>
    <s v="NORTH"/>
    <s v="N02"/>
    <s v="ENUM_07"/>
    <s v="yes"/>
    <s v="45_54"/>
    <s v="woman"/>
    <n v="6"/>
    <s v="no"/>
    <x v="0"/>
    <d v="2025-05-07T00:00:00"/>
    <s v="planning"/>
    <n v="4"/>
    <n v="2"/>
    <n v="3"/>
    <s v="yes"/>
    <n v="3"/>
    <s v="no"/>
    <s v=""/>
    <s v=""/>
    <n v="13.9"/>
    <x v="0"/>
    <s v="Round 2"/>
    <s v="Planning"/>
    <s v="UNMAPPED"/>
  </r>
  <r>
    <s v="SUB-0273"/>
    <s v="SYN-0273"/>
    <s v="yes"/>
    <s v="1.0.0"/>
    <s v="ROUND_2"/>
    <d v="2025-06-19T00:00:00"/>
    <d v="2025-02-22T00:00:00"/>
    <s v="EAST"/>
    <s v="E01"/>
    <s v="ENUM_06"/>
    <s v="yes"/>
    <s v="35_44"/>
    <s v="man"/>
    <n v="3"/>
    <s v="no"/>
    <x v="1"/>
    <m/>
    <s v=""/>
    <m/>
    <m/>
    <m/>
    <s v=""/>
    <n v="4"/>
    <s v="no"/>
    <s v=""/>
    <s v=""/>
    <n v="27.5"/>
    <x v="2"/>
    <s v="Round 2"/>
    <s v="UNMAPPED"/>
    <s v="UNMAPPED"/>
  </r>
  <r>
    <s v="SUB-0293"/>
    <s v="SYN-0293"/>
    <s v="yes"/>
    <s v="1.0.0"/>
    <s v="ROUND_1"/>
    <d v="2025-05-19T00:00:00"/>
    <d v="2025-01-19T00:00:00"/>
    <s v="WEST"/>
    <s v="W01"/>
    <s v="ENUM_05"/>
    <s v="yes"/>
    <s v="25_34"/>
    <s v="man"/>
    <n v="5"/>
    <s v="no"/>
    <x v="0"/>
    <d v="2025-05-07T00:00:00"/>
    <s v="digital_skills"/>
    <n v="2"/>
    <n v="3"/>
    <n v="4"/>
    <s v="yes"/>
    <n v="3"/>
    <s v="yes"/>
    <s v="printed_material"/>
    <s v=""/>
    <n v="14.3"/>
    <x v="1"/>
    <s v="Round 1"/>
    <s v="Digital skills"/>
    <s v="Printed material"/>
  </r>
  <r>
    <s v="SUB-0001"/>
    <s v="SYN-0001"/>
    <s v="yes"/>
    <s v="1.0.0"/>
    <s v="ROUND_2"/>
    <d v="2025-08-21T00:00:00"/>
    <d v="2025-05-12T00:00:00"/>
    <s v="WEST"/>
    <s v="W01"/>
    <s v="ENUM_02"/>
    <s v="yes"/>
    <s v="18_24"/>
    <s v="woman"/>
    <n v="7"/>
    <s v="no"/>
    <x v="0"/>
    <d v="2025-07-28T00:00:00"/>
    <s v="financial_skills"/>
    <n v="4"/>
    <n v="4"/>
    <n v="5"/>
    <s v="no"/>
    <n v="3"/>
    <s v="no"/>
    <s v=""/>
    <s v=""/>
    <n v="180"/>
    <x v="1"/>
    <s v="Round 2"/>
    <s v="Financial skills"/>
    <s v="UNMAPPED"/>
  </r>
  <r>
    <s v="SUB-0056"/>
    <s v="SYN-0056"/>
    <s v="yes"/>
    <s v="1.0.0"/>
    <s v="ROUND_2"/>
    <d v="2025-05-07T00:00:00"/>
    <d v="2025-03-17T00:00:00"/>
    <s v="SOUTH"/>
    <s v="S03"/>
    <s v="ENUM_05"/>
    <s v="yes"/>
    <s v="25_34"/>
    <s v="man"/>
    <n v="6"/>
    <s v="no"/>
    <x v="1"/>
    <m/>
    <s v=""/>
    <m/>
    <m/>
    <m/>
    <s v=""/>
    <n v="5"/>
    <s v="no"/>
    <s v=""/>
    <s v=""/>
    <n v="24"/>
    <x v="4"/>
    <s v="Round 2"/>
    <s v="UNMAPPED"/>
    <s v="UNMAPPED"/>
  </r>
  <r>
    <s v="SUB-0219"/>
    <s v="SYN-0219"/>
    <s v="yes"/>
    <s v="1.0.0"/>
    <s v="ROUND_1"/>
    <d v="2025-06-28T00:00:00"/>
    <d v="2025-02-03T00:00:00"/>
    <s v="NORTH"/>
    <s v="N03"/>
    <s v="ENUM_06"/>
    <s v="yes"/>
    <s v="35_44"/>
    <s v="woman"/>
    <n v="6"/>
    <s v="no"/>
    <x v="1"/>
    <m/>
    <s v=""/>
    <m/>
    <m/>
    <m/>
    <s v=""/>
    <n v="4"/>
    <s v="yes"/>
    <s v="community_meeting"/>
    <s v=""/>
    <n v="16.2"/>
    <x v="0"/>
    <s v="Round 1"/>
    <s v="UNMAPPED"/>
    <s v="Community meeting"/>
  </r>
  <r>
    <s v="SUB-0260"/>
    <s v="SYN-0260"/>
    <s v="yes"/>
    <s v="1.0.0"/>
    <s v="ROUND_2"/>
    <d v="2025-04-06T00:00:00"/>
    <d v="2024-11-24T00:00:00"/>
    <s v="SOUTH"/>
    <s v="S02"/>
    <s v="ENUM_06"/>
    <s v="yes"/>
    <s v="35_44"/>
    <s v="man"/>
    <n v="7"/>
    <s v="no"/>
    <x v="0"/>
    <d v="2025-03-18T00:00:00"/>
    <s v="financial_skills"/>
    <n v="5"/>
    <n v="4"/>
    <n v="5"/>
    <s v="yes"/>
    <n v="4"/>
    <s v="yes"/>
    <s v="radio"/>
    <s v="The group activities helped me learn from other participants."/>
    <n v="9.4"/>
    <x v="4"/>
    <s v="Round 2"/>
    <s v="Financial skills"/>
    <s v="Radio"/>
  </r>
  <r>
    <s v="SUB-0372"/>
    <s v="SYN-0372"/>
    <s v="yes"/>
    <s v="1.0.0"/>
    <s v="ROUND_1"/>
    <d v="2025-06-20T00:00:00"/>
    <d v="2025-01-30T00:00:00"/>
    <s v="WEST"/>
    <s v="W03"/>
    <s v="ENUM_07"/>
    <s v="yes"/>
    <s v="18_24"/>
    <s v="woman"/>
    <n v="7"/>
    <s v="no"/>
    <x v="0"/>
    <d v="2025-06-19T00:00:00"/>
    <s v="leadership"/>
    <n v="4"/>
    <n v="2"/>
    <n v="3"/>
    <s v="yes"/>
    <n v="3"/>
    <s v="no"/>
    <s v=""/>
    <s v=""/>
    <n v="12.6"/>
    <x v="1"/>
    <s v="Round 1"/>
    <s v="Leadership"/>
    <s v="UNMAPPED"/>
  </r>
  <r>
    <s v="SUB-0119"/>
    <s v="SYN-0119"/>
    <s v="yes"/>
    <s v="1.0.0"/>
    <s v="ROUND_2"/>
    <d v="2025-05-07T00:00:00"/>
    <d v="2024-12-11T00:00:00"/>
    <s v="EAST"/>
    <s v="E01"/>
    <s v="ENUM_06"/>
    <s v="yes"/>
    <s v="35_44"/>
    <s v="man"/>
    <n v="4"/>
    <s v="no"/>
    <x v="1"/>
    <d v="2025-05-07T00:00:00"/>
    <s v="digital_skills"/>
    <n v="4"/>
    <n v="2"/>
    <n v="4"/>
    <s v="yes"/>
    <n v="5"/>
    <s v="no"/>
    <s v=""/>
    <s v=""/>
    <n v="21.6"/>
    <x v="2"/>
    <s v="Round 2"/>
    <s v="Digital skills"/>
    <s v="UNMAPPED"/>
  </r>
  <r>
    <s v="SUB-0206"/>
    <s v="SYN-0206"/>
    <s v="yes"/>
    <s v="1.0.0"/>
    <s v="ROUND_2"/>
    <d v="2025-09-25T00:00:00"/>
    <d v="2025-05-24T00:00:00"/>
    <s v="EAST"/>
    <s v="E03"/>
    <s v="ENUM_03"/>
    <s v="yes"/>
    <s v="45_54"/>
    <s v="woman"/>
    <n v="5"/>
    <s v="no"/>
    <x v="0"/>
    <d v="2025-05-27T00:00:00"/>
    <s v="financial_skills"/>
    <n v="5"/>
    <n v="3"/>
    <n v="5"/>
    <s v="yes"/>
    <n v="4"/>
    <s v="no"/>
    <s v=""/>
    <s v="I would like more examples about budgeting and record keeping."/>
    <n v="15.6"/>
    <x v="2"/>
    <s v="Round 2"/>
    <s v="Financial skills"/>
    <s v="UNMAPPED"/>
  </r>
  <r>
    <s v="SUB-0116"/>
    <s v="SYN-0116"/>
    <s v="yes"/>
    <s v="1.0.0"/>
    <s v="ROUND_1"/>
    <d v="2025-09-13T00:00:00"/>
    <d v="2025-07-14T00:00:00"/>
    <s v="NORTH"/>
    <s v="N03"/>
    <s v="ENUM_07"/>
    <s v="yes"/>
    <s v="25_34"/>
    <s v=""/>
    <n v="2"/>
    <s v="no"/>
    <x v="0"/>
    <d v="2025-07-29T00:00:00"/>
    <s v="digital_skills"/>
    <n v="4"/>
    <n v="4"/>
    <n v="5"/>
    <s v="yes"/>
    <n v="4"/>
    <s v="no"/>
    <s v=""/>
    <s v=""/>
    <n v="12.6"/>
    <x v="0"/>
    <s v="Round 1"/>
    <s v="Digital skills"/>
    <s v="UNMAPPED"/>
  </r>
  <r>
    <s v="SUB-0333"/>
    <s v="SYN-0333"/>
    <s v="yes"/>
    <s v="1.0.0"/>
    <s v="ROUND_1"/>
    <d v="2025-07-30T00:00:00"/>
    <d v="2025-04-18T00:00:00"/>
    <s v="NORTH"/>
    <s v="N03"/>
    <s v="ENUM_07"/>
    <s v="yes"/>
    <s v="55_plus"/>
    <s v="woman"/>
    <n v="4"/>
    <s v="no"/>
    <x v="1"/>
    <m/>
    <s v=""/>
    <m/>
    <m/>
    <m/>
    <s v=""/>
    <n v="4"/>
    <s v="no"/>
    <s v=""/>
    <s v=""/>
    <n v="25.7"/>
    <x v="0"/>
    <s v="Round 1"/>
    <s v="UNMAPPED"/>
    <s v="UNMAPPED"/>
  </r>
  <r>
    <s v="SUB-0098"/>
    <s v="SYN-0098"/>
    <s v="yes"/>
    <s v="1.0.0"/>
    <s v="ROUND_1"/>
    <d v="2025-07-19T00:00:00"/>
    <d v="2025-04-05T00:00:00"/>
    <s v="SOUTH"/>
    <s v="S01"/>
    <s v="ENUM_02"/>
    <s v="yes"/>
    <s v="25_34"/>
    <s v="woman"/>
    <n v="4"/>
    <s v="no"/>
    <x v="0"/>
    <d v="2025-06-18T00:00:00"/>
    <s v="planning"/>
    <n v="3"/>
    <n v="3"/>
    <n v="4"/>
    <s v="yes"/>
    <n v="2"/>
    <s v="no"/>
    <s v=""/>
    <s v=""/>
    <n v="26.5"/>
    <x v="4"/>
    <s v="Round 1"/>
    <s v="Planning"/>
    <s v="UNMAPPED"/>
  </r>
  <r>
    <s v="SUB-0034"/>
    <s v="SYN-0034"/>
    <s v="yes"/>
    <s v="1.0.0"/>
    <s v="ROUND_2"/>
    <d v="2025-09-09T00:00:00"/>
    <d v="2025-08-02T00:00:00"/>
    <s v="NORTH"/>
    <s v="N03"/>
    <s v="ENUM_01"/>
    <s v="yes"/>
    <s v="35_44"/>
    <s v="woman"/>
    <n v="5"/>
    <s v="no"/>
    <x v="0"/>
    <d v="2025-08-10T00:00:00"/>
    <s v="financial_skills"/>
    <n v="5"/>
    <n v="2"/>
    <n v="4"/>
    <s v="yes"/>
    <n v="5"/>
    <s v="no"/>
    <s v=""/>
    <s v=""/>
    <n v="17.3"/>
    <x v="0"/>
    <s v="Round 2"/>
    <s v="Financial skills"/>
    <s v="UNMAPPED"/>
  </r>
  <r>
    <s v="SUB-0299"/>
    <s v="SYN-0299"/>
    <s v="yes"/>
    <s v="1.0.0"/>
    <s v="ROUND_2"/>
    <d v="2025-09-20T00:00:00"/>
    <d v="2025-06-21T00:00:00"/>
    <s v="EAST"/>
    <s v="E01"/>
    <s v="ENUM_01"/>
    <s v="yes"/>
    <s v="55_plus"/>
    <s v="man"/>
    <n v="4"/>
    <s v="no"/>
    <x v="0"/>
    <d v="2025-08-07T00:00:00"/>
    <s v="planning"/>
    <n v="3"/>
    <n v="3"/>
    <n v="5"/>
    <s v="yes"/>
    <n v="5"/>
    <s v="no"/>
    <s v=""/>
    <s v=""/>
    <n v="27.2"/>
    <x v="2"/>
    <s v="Round 2"/>
    <s v="Planning"/>
    <s v="UNMAPPED"/>
  </r>
  <r>
    <s v="SUB-0244"/>
    <s v="SYN-0244"/>
    <s v="yes"/>
    <s v="1.0.0"/>
    <s v="ROUND_1"/>
    <d v="2025-07-18T00:00:00"/>
    <d v="2025-05-09T00:00:00"/>
    <s v="NORTH"/>
    <s v="N02"/>
    <s v="ENUM_05"/>
    <s v="yes"/>
    <s v="55_plus"/>
    <s v="woman"/>
    <n v="6"/>
    <s v="no"/>
    <x v="0"/>
    <d v="2025-07-10T00:00:00"/>
    <s v="digital_skills"/>
    <n v="3"/>
    <n v="3"/>
    <n v="4"/>
    <s v="yes"/>
    <n v="4"/>
    <s v="no"/>
    <s v=""/>
    <s v=""/>
    <n v="15.8"/>
    <x v="0"/>
    <s v="Round 1"/>
    <s v="Digital skills"/>
    <s v="UNMAPPED"/>
  </r>
  <r>
    <s v="SUB-0229"/>
    <s v="SYN-0229"/>
    <s v="yes"/>
    <s v="1.0.0"/>
    <s v="ROUND_2"/>
    <d v="2025-08-12T00:00:00"/>
    <d v="2025-04-12T00:00:00"/>
    <s v="NORTH"/>
    <s v="N01"/>
    <s v="ENUM_02"/>
    <s v="yes"/>
    <s v="45_54"/>
    <s v="man"/>
    <n v="5"/>
    <s v="no"/>
    <x v="1"/>
    <m/>
    <s v=""/>
    <m/>
    <m/>
    <m/>
    <s v=""/>
    <n v="4"/>
    <s v="no"/>
    <s v=""/>
    <s v=""/>
    <n v="20"/>
    <x v="0"/>
    <s v="Round 2"/>
    <s v="UNMAPPED"/>
    <s v="UNMAPPED"/>
  </r>
  <r>
    <s v="SUB-0218"/>
    <s v="SYN-0218"/>
    <s v="yes"/>
    <s v="1.0.0"/>
    <s v="ROUND_2"/>
    <d v="2025-05-23T00:00:00"/>
    <d v="2025-02-16T00:00:00"/>
    <s v="EAST"/>
    <s v="E01"/>
    <s v="ENUM_08"/>
    <s v="yes"/>
    <s v="45_54"/>
    <s v="woman"/>
    <n v="5"/>
    <s v="yes"/>
    <x v="0"/>
    <d v="2025-04-04T00:00:00"/>
    <s v="planning"/>
    <n v="4"/>
    <n v="4"/>
    <n v="5"/>
    <s v="yes"/>
    <n v="3"/>
    <s v="yes"/>
    <s v="printed_material"/>
    <s v="Printed materials would help people who cannot attend every session."/>
    <n v="18.399999999999999"/>
    <x v="2"/>
    <s v="Round 2"/>
    <s v="Planning"/>
    <s v="Printed material"/>
  </r>
  <r>
    <s v="SUB-0169"/>
    <s v="SYN-0169"/>
    <s v="yes"/>
    <s v="1.0.0"/>
    <s v="ROUND_1"/>
    <d v="2025-05-27T00:00:00"/>
    <d v="2025-06-10T00:00:00"/>
    <s v="SOUTH"/>
    <s v="S01"/>
    <s v="ENUM_07"/>
    <s v="yes"/>
    <s v="55_plus"/>
    <s v="woman"/>
    <n v="4"/>
    <s v="no"/>
    <x v="1"/>
    <m/>
    <s v=""/>
    <m/>
    <m/>
    <m/>
    <s v=""/>
    <n v="5"/>
    <s v="yes"/>
    <s v="printed_material"/>
    <s v=""/>
    <n v="24"/>
    <x v="4"/>
    <s v="Round 1"/>
    <s v="UNMAPPED"/>
    <s v="Printed material"/>
  </r>
  <r>
    <s v="SUB-0402"/>
    <s v="SYN-0402"/>
    <s v="yes"/>
    <s v="1.0.0"/>
    <s v="ROUND_2"/>
    <d v="2025-06-06T00:00:00"/>
    <d v="2025-01-31T00:00:00"/>
    <s v="NORTH"/>
    <s v="N03"/>
    <s v="ENUM_04"/>
    <s v="yes"/>
    <s v="25_34"/>
    <s v="prefer_not"/>
    <n v="7"/>
    <s v="no"/>
    <x v="1"/>
    <m/>
    <s v=""/>
    <m/>
    <m/>
    <m/>
    <s v=""/>
    <n v="3"/>
    <s v="no"/>
    <s v=""/>
    <s v=""/>
    <n v="16.5"/>
    <x v="0"/>
    <s v="Round 2"/>
    <s v="UNMAPPED"/>
    <s v="UNMAPPED"/>
  </r>
  <r>
    <s v="SUB-0075"/>
    <s v="SYN-0075"/>
    <s v="yes"/>
    <s v="1.0.0"/>
    <s v="ROUND_1"/>
    <d v="2025-09-08T00:00:00"/>
    <d v="2025-07-22T00:00:00"/>
    <s v="NORTH"/>
    <s v="N03"/>
    <s v="ENUM_03"/>
    <s v="yes"/>
    <s v="35_44"/>
    <s v="man"/>
    <n v="2"/>
    <s v="yes"/>
    <x v="0"/>
    <d v="2025-08-19T00:00:00"/>
    <s v="leadership"/>
    <n v="1"/>
    <n v="2"/>
    <n v="4"/>
    <s v="yes"/>
    <n v="4"/>
    <s v="no"/>
    <s v=""/>
    <s v=""/>
    <n v="13.6"/>
    <x v="0"/>
    <s v="Round 1"/>
    <s v="Leadership"/>
    <s v="UNMAPPED"/>
  </r>
  <r>
    <s v="SUB-0193"/>
    <s v="SYN-0193"/>
    <s v="yes"/>
    <s v="1.0.0"/>
    <s v="ROUND_1"/>
    <d v="2025-05-11T00:00:00"/>
    <d v="2024-12-16T00:00:00"/>
    <s v="WEST"/>
    <s v="W02"/>
    <s v="ENUM_06"/>
    <s v="yes"/>
    <s v="35_44"/>
    <s v="woman"/>
    <n v="4"/>
    <s v="no"/>
    <x v="0"/>
    <d v="2025-02-04T00:00:00"/>
    <s v="financial_skills"/>
    <n v="4"/>
    <n v="2"/>
    <n v="3"/>
    <s v="no"/>
    <n v="3"/>
    <s v="no"/>
    <s v=""/>
    <s v="The session was useful, but the timing conflicted with other responsibilities."/>
    <n v="10"/>
    <x v="1"/>
    <s v="Round 1"/>
    <s v="Financial skills"/>
    <s v="UNMAPPED"/>
  </r>
  <r>
    <s v="SUB-0399"/>
    <s v="SYN-0399"/>
    <s v="yes"/>
    <s v="1.0.0"/>
    <s v="ROUND_2"/>
    <d v="2025-08-07T00:00:00"/>
    <d v="2025-06-01T00:00:00"/>
    <s v="EAST"/>
    <s v="E03"/>
    <s v="ENUM_02"/>
    <s v="yes"/>
    <s v="45_54"/>
    <s v="woman"/>
    <n v="5"/>
    <s v="no"/>
    <x v="1"/>
    <m/>
    <s v=""/>
    <m/>
    <m/>
    <m/>
    <s v=""/>
    <n v="5"/>
    <s v="no"/>
    <s v=""/>
    <s v=""/>
    <n v="24.3"/>
    <x v="2"/>
    <s v="Round 2"/>
    <s v="UNMAPPED"/>
    <s v="UNMAPPED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0">
  <r>
    <s v="SUB-0064"/>
    <s v="SYN-0064"/>
    <s v="yes"/>
    <s v="1.0.0"/>
    <s v="ROUND_2"/>
    <d v="2025-09-07T00:00:00"/>
    <d v="2025-05-16T00:00:00"/>
    <s v="NORTH"/>
    <s v="N01"/>
    <s v="ENUM_05"/>
    <s v="yes"/>
    <s v="35_44"/>
    <s v="man"/>
    <n v="4"/>
    <s v="no"/>
    <s v="yes"/>
    <d v="2025-09-05T00:00:00"/>
    <s v="digital_skills"/>
    <n v="3"/>
    <n v="1"/>
    <n v="2"/>
    <s v="no"/>
    <n v="1"/>
    <s v="no"/>
    <s v=""/>
    <s v=""/>
    <n v="19.8"/>
    <x v="0"/>
    <x v="0"/>
    <s v="Digital skills"/>
    <s v="UNMAPPED"/>
  </r>
  <r>
    <s v="SUB-0021"/>
    <s v="SYN-0021"/>
    <s v="yes"/>
    <s v="1.0.0"/>
    <s v="ROUND_1"/>
    <d v="2025-09-12T00:00:00"/>
    <d v="2025-06-03T00:00:00"/>
    <s v="NORTH"/>
    <s v="N03"/>
    <s v="ENUM_02"/>
    <s v="yes"/>
    <s v="18_24"/>
    <s v="man"/>
    <n v="2"/>
    <s v="no"/>
    <s v="yes"/>
    <d v="2025-07-23T00:00:00"/>
    <s v="leadership"/>
    <n v="5"/>
    <n v="1"/>
    <n v="3"/>
    <s v="no"/>
    <n v="4"/>
    <s v="no"/>
    <s v=""/>
    <s v="I would like more examples about budgeting and record keeping."/>
    <n v="27.3"/>
    <x v="0"/>
    <x v="1"/>
    <s v="Leadership"/>
    <s v="UNMAPPED"/>
  </r>
  <r>
    <s v="SUB-0089"/>
    <s v="SYN-0089"/>
    <s v="yes"/>
    <s v="1.0.0"/>
    <s v="ROUND_1"/>
    <d v="2025-09-02T00:00:00"/>
    <d v="2025-05-26T00:00:00"/>
    <s v="NORTH"/>
    <s v="N02"/>
    <s v="ENUM_04"/>
    <s v="yes"/>
    <s v="45_54"/>
    <s v="woman"/>
    <n v="6"/>
    <s v="no"/>
    <s v="no"/>
    <m/>
    <s v=""/>
    <m/>
    <m/>
    <m/>
    <s v=""/>
    <n v="4"/>
    <s v="no"/>
    <s v=""/>
    <s v=""/>
    <n v="30.1"/>
    <x v="0"/>
    <x v="1"/>
    <s v="UNMAPPED"/>
    <s v="UNMAPPED"/>
  </r>
  <r>
    <s v="SUB-0057"/>
    <s v="SYN-0057"/>
    <s v="yes"/>
    <s v="1.0.0"/>
    <s v="ROUND_2"/>
    <d v="2025-09-02T00:00:00"/>
    <d v="2025-06-16T00:00:00"/>
    <s v="WEST"/>
    <s v="W02"/>
    <s v="ENUM_03"/>
    <s v="yes"/>
    <s v="25_34"/>
    <s v="woman"/>
    <n v="3"/>
    <s v="no"/>
    <s v="yes"/>
    <d v="2025-09-01T00:00:00"/>
    <s v="financial_skills"/>
    <n v="4"/>
    <n v="3"/>
    <n v="4"/>
    <s v="no"/>
    <n v="3"/>
    <s v="no"/>
    <s v=""/>
    <s v=""/>
    <n v="26.5"/>
    <x v="1"/>
    <x v="0"/>
    <s v="Financial skills"/>
    <s v="UNMAPPED"/>
  </r>
  <r>
    <s v="SUB-0190"/>
    <s v="SYN-0190"/>
    <s v="yes"/>
    <s v="1.0.0"/>
    <s v="ROUND_1"/>
    <d v="2025-07-21T00:00:00"/>
    <d v="2025-06-08T00:00:00"/>
    <s v="EAST"/>
    <s v="E03"/>
    <s v="ENUM_07"/>
    <s v="yes"/>
    <s v="25_34"/>
    <s v="man"/>
    <n v="3"/>
    <s v="yes"/>
    <s v="yes"/>
    <d v="2025-07-10T00:00:00"/>
    <s v="financial_skills"/>
    <n v="4"/>
    <n v="3"/>
    <n v="4"/>
    <s v="no"/>
    <n v="3"/>
    <s v="no"/>
    <s v=""/>
    <s v=""/>
    <n v="27.2"/>
    <x v="2"/>
    <x v="1"/>
    <s v="Financial skills"/>
    <s v="UNMAPPED"/>
  </r>
  <r>
    <s v="SUB-0108"/>
    <s v="SYN-0108"/>
    <s v="yes"/>
    <s v="1.0.0"/>
    <s v="ROUND_1"/>
    <d v="2025-04-02T00:00:00"/>
    <d v="2024-12-23T00:00:00"/>
    <s v="WEST"/>
    <s v="W02"/>
    <s v="ENUM_08"/>
    <s v="yes"/>
    <s v="55_plus"/>
    <s v="woman"/>
    <n v="4"/>
    <s v="no"/>
    <s v="yes"/>
    <d v="2025-03-30T00:00:00"/>
    <s v="planning"/>
    <n v="3"/>
    <n v="1"/>
    <n v="3"/>
    <s v="yes"/>
    <n v="3"/>
    <s v="no"/>
    <s v=""/>
    <s v="Travel to the meeting location was difficult during bad weather."/>
    <n v="26.9"/>
    <x v="1"/>
    <x v="1"/>
    <s v="Planning"/>
    <s v="UNMAPPED"/>
  </r>
  <r>
    <s v="SUB-0304"/>
    <s v="SYN-0304"/>
    <s v="yes"/>
    <s v="1.0.0"/>
    <s v="ROUND_2"/>
    <d v="2025-08-21T00:00:00"/>
    <d v="2025-05-09T00:00:00"/>
    <s v=""/>
    <s v="W02"/>
    <s v="ENUM_05"/>
    <s v="yes"/>
    <s v="25_34"/>
    <s v="man"/>
    <n v="10"/>
    <s v="no"/>
    <s v="yes"/>
    <d v="2025-06-04T00:00:00"/>
    <s v="planning"/>
    <n v="4"/>
    <n v="4"/>
    <n v="5"/>
    <s v="no"/>
    <n v="2"/>
    <s v="no"/>
    <s v=""/>
    <s v=""/>
    <n v="21.2"/>
    <x v="3"/>
    <x v="0"/>
    <s v="Planning"/>
    <s v="UNMAPPED"/>
  </r>
  <r>
    <s v="SUB-0237"/>
    <s v="SYN-0237"/>
    <s v="yes"/>
    <s v="1.0.0"/>
    <s v="ROUND_2"/>
    <d v="2025-05-03T00:00:00"/>
    <d v="2025-02-23T00:00:00"/>
    <s v="NORTH"/>
    <s v="N02"/>
    <s v="ENUM_08"/>
    <s v="yes"/>
    <s v="45_54"/>
    <s v="man"/>
    <n v="4"/>
    <s v="no"/>
    <s v="yes"/>
    <d v="2025-04-10T00:00:00"/>
    <s v="planning"/>
    <n v="3"/>
    <n v="1"/>
    <n v="1"/>
    <s v="yes"/>
    <n v="3"/>
    <s v="no"/>
    <s v=""/>
    <s v=""/>
    <n v="4.5"/>
    <x v="0"/>
    <x v="0"/>
    <s v="Planning"/>
    <s v="UNMAPPED"/>
  </r>
  <r>
    <s v="SUB-0011"/>
    <s v="SYN-0011"/>
    <s v="yes"/>
    <s v="1.0.0"/>
    <s v="ROUND_2"/>
    <d v="2025-06-16T00:00:00"/>
    <d v="2025-05-08T00:00:00"/>
    <s v="WEST"/>
    <s v="W03"/>
    <s v="ENUM_03"/>
    <s v="yes"/>
    <s v="25_34"/>
    <s v="man"/>
    <n v="6"/>
    <s v="no"/>
    <s v="no"/>
    <m/>
    <s v=""/>
    <m/>
    <m/>
    <m/>
    <s v=""/>
    <n v="3"/>
    <s v="no"/>
    <s v=""/>
    <s v=""/>
    <n v="8.1"/>
    <x v="1"/>
    <x v="0"/>
    <s v="UNMAPPED"/>
    <s v="UNMAPPED"/>
  </r>
  <r>
    <s v="SUB-0198"/>
    <s v="SYN-0198"/>
    <s v="yes"/>
    <s v="1.0.0"/>
    <s v="ROUND_1"/>
    <d v="2025-06-02T00:00:00"/>
    <d v="2025-01-06T00:00:00"/>
    <s v="NORTH"/>
    <s v="N02"/>
    <s v="ENUM_03"/>
    <s v="yes"/>
    <s v="55_plus"/>
    <s v="woman"/>
    <n v="2"/>
    <s v="yes"/>
    <s v="yes"/>
    <d v="2025-04-22T00:00:00"/>
    <s v="digital_skills"/>
    <n v="4"/>
    <n v="4"/>
    <n v="4"/>
    <s v="no"/>
    <n v="1"/>
    <s v="no"/>
    <s v=""/>
    <s v=""/>
    <n v="14.1"/>
    <x v="0"/>
    <x v="1"/>
    <s v="Digital skills"/>
    <s v="UNMAPPED"/>
  </r>
  <r>
    <s v="SUB-0097"/>
    <s v="SYN-0097"/>
    <s v="yes"/>
    <s v="1.0.0"/>
    <s v="ROUND_2"/>
    <d v="2025-08-29T00:00:00"/>
    <d v="2025-05-07T00:00:00"/>
    <s v="NORTH"/>
    <s v="N03"/>
    <s v="ENUM_01"/>
    <s v="yes"/>
    <s v="18_24"/>
    <s v="man"/>
    <n v="4"/>
    <s v="no"/>
    <s v="yes"/>
    <d v="2025-08-29T00:00:00"/>
    <s v="financial_skills"/>
    <n v="5"/>
    <n v="2"/>
    <n v="3"/>
    <s v="no"/>
    <n v="4"/>
    <s v="no"/>
    <s v=""/>
    <s v=""/>
    <n v="28.8"/>
    <x v="0"/>
    <x v="0"/>
    <s v="Financial skills"/>
    <s v="UNMAPPED"/>
  </r>
  <r>
    <s v="SUB-0020"/>
    <s v="SYN-0020"/>
    <s v="yes"/>
    <s v="1.0.0"/>
    <s v="ROUND_2"/>
    <d v="2025-08-27T00:00:00"/>
    <d v="2025-07-04T00:00:00"/>
    <s v="WEST"/>
    <s v="W02"/>
    <s v="ENUM_03"/>
    <s v="yes"/>
    <s v="25_34"/>
    <s v="woman"/>
    <n v="7"/>
    <s v="yes"/>
    <s v="yes"/>
    <d v="2025-07-17T00:00:00"/>
    <s v="leadership"/>
    <n v="4"/>
    <n v="2"/>
    <n v="4"/>
    <s v="yes"/>
    <n v="4"/>
    <s v="no"/>
    <s v=""/>
    <s v=""/>
    <n v="28.9"/>
    <x v="1"/>
    <x v="0"/>
    <s v="Leadership"/>
    <s v="UNMAPPED"/>
  </r>
  <r>
    <s v="SUB-0131"/>
    <s v="SYN-0131"/>
    <s v="yes"/>
    <s v="1.0.0"/>
    <s v="ROUND_2"/>
    <d v="2025-04-15T00:00:00"/>
    <d v="2025-02-27T00:00:00"/>
    <s v="EAST"/>
    <s v="E01"/>
    <s v="ENUM_04"/>
    <s v="yes"/>
    <s v="25_34"/>
    <s v="woman"/>
    <n v="1"/>
    <s v="no"/>
    <s v="yes"/>
    <d v="2025-03-08T00:00:00"/>
    <s v="financial_skills"/>
    <n v="5"/>
    <n v="1"/>
    <n v="2"/>
    <s v="yes"/>
    <n v="5"/>
    <s v="yes"/>
    <s v="community_meeting"/>
    <s v=""/>
    <n v="18.7"/>
    <x v="2"/>
    <x v="0"/>
    <s v="Financial skills"/>
    <s v="Community meeting"/>
  </r>
  <r>
    <s v="SUB-0032"/>
    <s v="SYN-0032"/>
    <s v="yes"/>
    <s v="1.0.0"/>
    <s v="ROUND_2"/>
    <d v="2025-06-29T00:00:00"/>
    <d v="2025-04-27T00:00:00"/>
    <s v="EAST"/>
    <s v="E01"/>
    <s v="ENUM_06"/>
    <s v="yes"/>
    <s v="35_44"/>
    <s v="man"/>
    <n v="7"/>
    <s v="no"/>
    <s v="yes"/>
    <d v="2025-05-15T00:00:00"/>
    <s v="leadership"/>
    <n v="3"/>
    <n v="3"/>
    <n v="5"/>
    <s v="no"/>
    <n v="2"/>
    <s v="no"/>
    <s v=""/>
    <s v=""/>
    <n v="9.9"/>
    <x v="2"/>
    <x v="0"/>
    <s v="Leadership"/>
    <s v="UNMAPPED"/>
  </r>
  <r>
    <s v="SUB-0063"/>
    <s v="SYN-0063"/>
    <s v="yes"/>
    <s v="1.0.0"/>
    <s v="ROUND_2"/>
    <d v="2025-08-09T00:00:00"/>
    <d v="2025-04-07T00:00:00"/>
    <s v="EAST"/>
    <s v="E03"/>
    <s v="ENUM_02"/>
    <s v="yes"/>
    <s v="25_34"/>
    <s v="man"/>
    <n v="2"/>
    <s v="no"/>
    <s v="no"/>
    <m/>
    <s v=""/>
    <m/>
    <m/>
    <m/>
    <s v=""/>
    <n v="5"/>
    <s v="no"/>
    <s v=""/>
    <s v=""/>
    <n v="19.7"/>
    <x v="2"/>
    <x v="0"/>
    <s v="UNMAPPED"/>
    <s v="UNMAPPED"/>
  </r>
  <r>
    <s v="SUB-0249"/>
    <s v="SYN-0249"/>
    <s v="yes"/>
    <s v="1.0.0"/>
    <s v="ROUND_1"/>
    <d v="2025-09-23T00:00:00"/>
    <d v="2025-04-27T00:00:00"/>
    <s v="NORTH"/>
    <s v="N01"/>
    <s v="ENUM_06"/>
    <s v="yes"/>
    <s v="45_54"/>
    <s v="woman"/>
    <n v="2"/>
    <s v="no"/>
    <s v="yes"/>
    <d v="2025-05-12T00:00:00"/>
    <s v="planning"/>
    <n v="3"/>
    <n v="3"/>
    <n v="5"/>
    <s v="yes"/>
    <n v="3"/>
    <s v="no"/>
    <s v=""/>
    <s v=""/>
    <n v="19.5"/>
    <x v="0"/>
    <x v="1"/>
    <s v="Planning"/>
    <s v="UNMAPPED"/>
  </r>
  <r>
    <s v="SUB-0141"/>
    <s v="SYN-0141"/>
    <s v="yes"/>
    <s v="1.0.0"/>
    <s v="ROUND_1"/>
    <d v="2025-04-20T00:00:00"/>
    <d v="2025-02-07T00:00:00"/>
    <s v="EAST"/>
    <s v="E01"/>
    <s v="ENUM_01"/>
    <s v="yes"/>
    <s v="35_44"/>
    <s v="woman"/>
    <n v="4"/>
    <s v="no"/>
    <s v="yes"/>
    <d v="2025-02-13T00:00:00"/>
    <s v="planning"/>
    <n v="4"/>
    <n v="3"/>
    <n v="3"/>
    <s v="yes"/>
    <n v="5"/>
    <s v="no"/>
    <s v=""/>
    <s v=""/>
    <n v="29.6"/>
    <x v="2"/>
    <x v="1"/>
    <s v="Planning"/>
    <s v="UNMAPPED"/>
  </r>
  <r>
    <s v="SUB-0280"/>
    <s v="SYN-0280"/>
    <s v="yes"/>
    <s v="1.0.0"/>
    <s v="ROUND_2"/>
    <d v="2025-09-07T00:00:00"/>
    <d v="2025-05-10T00:00:00"/>
    <s v="WEST"/>
    <s v="W02"/>
    <s v="ENUM_04"/>
    <s v="yes"/>
    <s v="35_44"/>
    <s v="woman"/>
    <n v="4"/>
    <s v="no"/>
    <s v="no"/>
    <m/>
    <s v=""/>
    <m/>
    <m/>
    <m/>
    <s v=""/>
    <n v="4"/>
    <s v="no"/>
    <s v=""/>
    <s v=""/>
    <n v="12.8"/>
    <x v="1"/>
    <x v="0"/>
    <s v="UNMAPPED"/>
    <s v="UNMAPPED"/>
  </r>
  <r>
    <s v="SUB-0031"/>
    <s v="SYN-0031"/>
    <s v="yes"/>
    <s v="1.0.0"/>
    <s v="ROUND_2"/>
    <d v="2025-06-09T00:00:00"/>
    <d v="2025-04-25T00:00:00"/>
    <s v="EAST"/>
    <s v="E02"/>
    <s v="ENUM_01"/>
    <s v="yes"/>
    <s v="35_44"/>
    <s v="woman"/>
    <n v="3"/>
    <s v="no"/>
    <s v="yes"/>
    <d v="2025-05-21T00:00:00"/>
    <s v="planning"/>
    <n v="4"/>
    <n v="1"/>
    <n v="2"/>
    <s v="no"/>
    <n v="3"/>
    <s v="no"/>
    <s v=""/>
    <s v=""/>
    <n v="20"/>
    <x v="2"/>
    <x v="0"/>
    <s v="Planning"/>
    <s v="UNMAPPED"/>
  </r>
  <r>
    <s v="SUB-DUP-006"/>
    <s v="SYN-0305"/>
    <s v="yes"/>
    <s v="1.0.0"/>
    <s v="ROUND_1"/>
    <d v="2025-08-16T00:00:00"/>
    <d v="2025-07-14T00:00:00"/>
    <s v="WEST"/>
    <s v="W02"/>
    <s v="ENUM_04"/>
    <s v="yes"/>
    <s v="18_24"/>
    <s v="man"/>
    <n v="4"/>
    <s v="yes"/>
    <s v="yes"/>
    <d v="2025-07-22T00:00:00"/>
    <s v="planning"/>
    <n v="3"/>
    <n v="1"/>
    <n v="3"/>
    <s v="no"/>
    <n v="5"/>
    <s v="yes"/>
    <s v="radio"/>
    <s v=""/>
    <n v="6.3"/>
    <x v="1"/>
    <x v="1"/>
    <s v="Planning"/>
    <s v="Radio"/>
  </r>
  <r>
    <s v="SUB-0183"/>
    <s v="SYN-0183"/>
    <s v="yes"/>
    <s v="1.0.0"/>
    <s v="ROUND_1"/>
    <d v="2026-01-15T00:00:00"/>
    <d v="2025-05-05T00:00:00"/>
    <s v="SOUTH"/>
    <s v="S01"/>
    <s v="ENUM_04"/>
    <s v="yes"/>
    <s v="55_plus"/>
    <s v="man"/>
    <n v="6"/>
    <s v="no"/>
    <s v="yes"/>
    <d v="2025-07-01T00:00:00"/>
    <s v="financial_skills"/>
    <n v="3"/>
    <n v="4"/>
    <n v="5"/>
    <s v="yes"/>
    <n v="5"/>
    <s v="no"/>
    <s v=""/>
    <s v=""/>
    <n v="28"/>
    <x v="4"/>
    <x v="1"/>
    <s v="Financial skills"/>
    <s v="UNMAPPED"/>
  </r>
  <r>
    <s v="SUB-0379"/>
    <s v="SYN-0379"/>
    <s v="yes"/>
    <s v="1.0.0"/>
    <s v="ROUND_2"/>
    <d v="2025-04-04T00:00:00"/>
    <d v="2025-02-14T00:00:00"/>
    <s v="WEST"/>
    <s v="W01"/>
    <s v="ENUM_08"/>
    <s v="yes"/>
    <s v="18_24"/>
    <s v="man"/>
    <n v="4"/>
    <s v="no"/>
    <s v="yes"/>
    <d v="2025-03-02T00:00:00"/>
    <s v="planning"/>
    <n v="4"/>
    <n v="2"/>
    <n v="3"/>
    <s v="no"/>
    <n v="3"/>
    <s v="yes"/>
    <s v="printed_material"/>
    <s v="The facilitator explained the topic clearly and respectfully."/>
    <n v="17.600000000000001"/>
    <x v="1"/>
    <x v="0"/>
    <s v="Planning"/>
    <s v="Printed material"/>
  </r>
  <r>
    <s v="SUB-0382"/>
    <s v="SYN-0382"/>
    <s v="yes"/>
    <s v="1.0.0"/>
    <s v="ROUND_2"/>
    <d v="2025-04-03T00:00:00"/>
    <d v="2024-11-14T00:00:00"/>
    <s v="WEST"/>
    <s v="W02"/>
    <s v="ENUM_01"/>
    <s v="yes"/>
    <s v="25_34"/>
    <s v="woman"/>
    <n v="7"/>
    <s v="yes"/>
    <s v="yes"/>
    <d v="2024-12-26T00:00:00"/>
    <s v="financial_skills"/>
    <n v="2"/>
    <n v="3"/>
    <n v="4"/>
    <s v="no"/>
    <n v="4"/>
    <s v="no"/>
    <s v=""/>
    <s v=""/>
    <n v="15.4"/>
    <x v="1"/>
    <x v="0"/>
    <s v="Financial skills"/>
    <s v="UNMAPPED"/>
  </r>
  <r>
    <s v="SUB-0259"/>
    <s v="SYN-0259"/>
    <s v="yes"/>
    <s v="1.0.0"/>
    <s v="ROUND_2"/>
    <d v="2025-06-03T00:00:00"/>
    <d v="2025-01-15T00:00:00"/>
    <s v="NORTH"/>
    <s v="N02"/>
    <s v="ENUM_07"/>
    <s v="yes"/>
    <s v="25_34"/>
    <s v="man"/>
    <n v="6"/>
    <s v="no"/>
    <s v="yes"/>
    <d v="2025-04-03T00:00:00"/>
    <s v="planning"/>
    <n v="5"/>
    <n v="3"/>
    <n v="4"/>
    <s v="no"/>
    <n v="3"/>
    <s v="no"/>
    <s v=""/>
    <s v=""/>
    <n v="17.8"/>
    <x v="0"/>
    <x v="0"/>
    <s v="Planning"/>
    <s v="UNMAPPED"/>
  </r>
  <r>
    <s v="SUB-0360"/>
    <s v="SYN-0360"/>
    <s v="yes"/>
    <s v="1.0.0"/>
    <s v="ROUND_1"/>
    <d v="2025-06-17T00:00:00"/>
    <d v="2025-01-26T00:00:00"/>
    <s v="WEST"/>
    <s v="W01"/>
    <s v="ENUM_03"/>
    <s v="yes"/>
    <s v="45_54"/>
    <s v="man"/>
    <n v="4"/>
    <s v="yes"/>
    <s v="no"/>
    <m/>
    <s v=""/>
    <m/>
    <m/>
    <m/>
    <s v=""/>
    <n v="3"/>
    <s v="no"/>
    <s v=""/>
    <s v=""/>
    <n v="20.3"/>
    <x v="1"/>
    <x v="1"/>
    <s v="UNMAPPED"/>
    <s v="UNMAPPED"/>
  </r>
  <r>
    <s v="SUB-0396"/>
    <s v="SYN-0396"/>
    <s v="yes"/>
    <s v="1.0.0"/>
    <s v="ROUND_2"/>
    <d v="2025-08-16T00:00:00"/>
    <d v="2025-06-29T00:00:00"/>
    <s v="WEST"/>
    <s v="W02"/>
    <s v="ENUM_04"/>
    <s v="yes"/>
    <s v="25_34"/>
    <s v="woman"/>
    <n v="2"/>
    <s v="no"/>
    <s v="yes"/>
    <d v="2025-07-12T00:00:00"/>
    <s v="leadership"/>
    <n v="4"/>
    <n v="2"/>
    <n v="2"/>
    <s v="no"/>
    <n v="5"/>
    <s v="yes"/>
    <s v="radio"/>
    <s v="The facilitator explained the topic clearly and respectfully."/>
    <n v="21.7"/>
    <x v="1"/>
    <x v="0"/>
    <s v="Leadership"/>
    <s v="Radio"/>
  </r>
  <r>
    <s v="SUB-0028"/>
    <s v="SYN-0028"/>
    <s v="yes"/>
    <s v="1.0.0"/>
    <s v="ROUND_2"/>
    <d v="2025-04-02T00:00:00"/>
    <d v="2024-11-19T00:00:00"/>
    <s v="NORTH"/>
    <s v="N03"/>
    <s v="ENUM_04"/>
    <s v="yes"/>
    <s v="25_34"/>
    <s v="man"/>
    <n v="3"/>
    <s v="no"/>
    <s v="yes"/>
    <d v="2024-12-18T00:00:00"/>
    <s v="planning"/>
    <n v="4"/>
    <n v="2"/>
    <n v="2"/>
    <s v="no"/>
    <n v="5"/>
    <s v="yes"/>
    <s v="community_meeting"/>
    <s v="The facilitator explained the topic clearly and respectfully."/>
    <n v="16.7"/>
    <x v="0"/>
    <x v="0"/>
    <s v="Planning"/>
    <s v="Community meeting"/>
  </r>
  <r>
    <s v="SUB-0389"/>
    <s v="SYN-0389"/>
    <s v="yes"/>
    <s v="1.0.0"/>
    <s v="ROUND_1"/>
    <d v="2025-07-09T00:00:00"/>
    <d v="2025-04-29T00:00:00"/>
    <s v="EAST"/>
    <s v="E03"/>
    <s v="ENUM_08"/>
    <s v="yes"/>
    <s v="35_44"/>
    <s v="woman"/>
    <n v="5"/>
    <s v="no"/>
    <s v="no"/>
    <m/>
    <s v=""/>
    <m/>
    <m/>
    <m/>
    <s v=""/>
    <n v="3"/>
    <s v="no"/>
    <s v=""/>
    <s v=""/>
    <n v="25.1"/>
    <x v="2"/>
    <x v="1"/>
    <s v="UNMAPPED"/>
    <s v="UNMAPPED"/>
  </r>
  <r>
    <s v="SUB-0331"/>
    <s v="SYN-0331"/>
    <s v="yes"/>
    <s v="1.0.0"/>
    <s v="ROUND_1"/>
    <d v="2025-04-21T00:00:00"/>
    <d v="2025-01-08T00:00:00"/>
    <s v="SOUTH"/>
    <s v="S01"/>
    <s v="ENUM_01"/>
    <s v="yes"/>
    <s v="18_24"/>
    <s v="man"/>
    <n v="5"/>
    <s v="yes"/>
    <s v="no"/>
    <m/>
    <s v=""/>
    <m/>
    <m/>
    <m/>
    <s v=""/>
    <n v="3"/>
    <s v="no"/>
    <s v=""/>
    <s v=""/>
    <n v="30.7"/>
    <x v="4"/>
    <x v="1"/>
    <s v="UNMAPPED"/>
    <s v="UNMAPPED"/>
  </r>
  <r>
    <s v="SUB-0224"/>
    <s v="SYN-0224"/>
    <s v="yes"/>
    <s v="1.0.0"/>
    <s v=""/>
    <m/>
    <m/>
    <s v=""/>
    <s v=""/>
    <s v=""/>
    <s v="no"/>
    <s v=""/>
    <s v=""/>
    <m/>
    <s v=""/>
    <s v=""/>
    <m/>
    <s v=""/>
    <m/>
    <m/>
    <m/>
    <s v=""/>
    <m/>
    <s v=""/>
    <s v=""/>
    <s v=""/>
    <m/>
    <x v="3"/>
    <x v="2"/>
    <s v="UNMAPPED"/>
    <s v="UNMAPPED"/>
  </r>
  <r>
    <s v="SUB-0152"/>
    <s v="SYN-0152"/>
    <s v="yes"/>
    <s v="1.0.0"/>
    <s v="ROUND_1"/>
    <d v="2025-04-19T00:00:00"/>
    <d v="2024-12-19T00:00:00"/>
    <s v="NORTH"/>
    <s v="N03"/>
    <s v="ENUM_05"/>
    <s v="yes"/>
    <s v="25_34"/>
    <s v="woman"/>
    <n v="5"/>
    <s v="no"/>
    <s v="yes"/>
    <d v="2025-01-19T00:00:00"/>
    <s v="leadership"/>
    <n v="5"/>
    <n v="3"/>
    <n v="4"/>
    <s v="yes"/>
    <n v="3"/>
    <s v="no"/>
    <s v=""/>
    <s v=""/>
    <n v="28"/>
    <x v="0"/>
    <x v="1"/>
    <s v="Leadership"/>
    <s v="UNMAPPED"/>
  </r>
  <r>
    <s v="SUB-0242"/>
    <s v="SYN-0242"/>
    <s v="yes"/>
    <s v="1.0.0"/>
    <s v="ROUND_2"/>
    <d v="2025-07-02T00:00:00"/>
    <d v="2025-04-25T00:00:00"/>
    <s v="EAST"/>
    <s v="E03"/>
    <s v="ENUM_07"/>
    <s v="yes"/>
    <s v="35_44"/>
    <s v="man"/>
    <n v="5"/>
    <s v="no"/>
    <s v="yes"/>
    <d v="2025-06-13T00:00:00"/>
    <s v="digital_skills"/>
    <n v="5"/>
    <n v="1"/>
    <n v="2"/>
    <s v="no"/>
    <n v="4"/>
    <s v="no"/>
    <s v=""/>
    <s v=""/>
    <n v="20.3"/>
    <x v="2"/>
    <x v="0"/>
    <s v="Digital skills"/>
    <s v="UNMAPPED"/>
  </r>
  <r>
    <s v="SUB-0284"/>
    <s v="SYN-0284"/>
    <s v="yes"/>
    <s v="1.0.0"/>
    <s v="ROUND_2"/>
    <d v="2025-07-02T00:00:00"/>
    <d v="2025-05-12T00:00:00"/>
    <s v="WEST"/>
    <s v="W03"/>
    <s v="ENUM_04"/>
    <s v="yes"/>
    <s v="45_54"/>
    <s v="woman"/>
    <n v="7"/>
    <s v="no"/>
    <s v="yes"/>
    <d v="2025-06-11T00:00:00"/>
    <s v="leadership"/>
    <n v="4"/>
    <n v="3"/>
    <n v="3"/>
    <s v="yes"/>
    <n v="4"/>
    <s v="no"/>
    <s v=""/>
    <s v="A location closer to the community would improve attendance."/>
    <n v="14.4"/>
    <x v="1"/>
    <x v="0"/>
    <s v="Leadership"/>
    <s v="UNMAPPED"/>
  </r>
  <r>
    <s v="SUB-0090"/>
    <s v="SYN-0090"/>
    <s v="yes"/>
    <s v="1.0.0"/>
    <s v="ROUND_1"/>
    <d v="2025-05-26T00:00:00"/>
    <d v="2025-04-14T00:00:00"/>
    <s v="NORTH"/>
    <s v="N01"/>
    <s v="ENUM_08"/>
    <s v="yes"/>
    <s v="25_34"/>
    <s v="non_binary"/>
    <n v="6"/>
    <s v="no"/>
    <s v="yes"/>
    <d v="2025-05-17T00:00:00"/>
    <s v="planning"/>
    <n v="3"/>
    <n v="1"/>
    <n v="2"/>
    <s v="no"/>
    <n v="1"/>
    <s v="no"/>
    <s v=""/>
    <s v=""/>
    <n v="27.7"/>
    <x v="0"/>
    <x v="1"/>
    <s v="Planning"/>
    <s v="UNMAPPED"/>
  </r>
  <r>
    <s v="SUB-0088"/>
    <s v="SYN-0088"/>
    <s v="yes"/>
    <s v="1.0.0"/>
    <s v=""/>
    <m/>
    <m/>
    <s v=""/>
    <s v=""/>
    <s v=""/>
    <s v="no"/>
    <s v=""/>
    <s v=""/>
    <m/>
    <s v=""/>
    <s v=""/>
    <m/>
    <s v=""/>
    <m/>
    <m/>
    <m/>
    <s v=""/>
    <m/>
    <s v=""/>
    <s v=""/>
    <s v=""/>
    <m/>
    <x v="3"/>
    <x v="2"/>
    <s v="UNMAPPED"/>
    <s v="UNMAPPED"/>
  </r>
  <r>
    <s v="SUB-0105"/>
    <s v="SYN-0105"/>
    <s v="yes"/>
    <s v="1.0.0"/>
    <s v="ROUND_1"/>
    <d v="2025-06-30T00:00:00"/>
    <d v="2025-02-06T00:00:00"/>
    <s v="EAST"/>
    <s v="E02"/>
    <s v="ENUM_07"/>
    <s v="yes"/>
    <s v="25_34"/>
    <s v="woman"/>
    <n v="6"/>
    <s v="yes"/>
    <s v="yes"/>
    <d v="2025-05-30T00:00:00"/>
    <s v="digital_skills"/>
    <n v="5"/>
    <n v="2"/>
    <n v="3"/>
    <s v="no"/>
    <n v="3"/>
    <s v="no"/>
    <s v=""/>
    <s v=""/>
    <n v="17.399999999999999"/>
    <x v="2"/>
    <x v="1"/>
    <s v="Digital skills"/>
    <s v="UNMAPPED"/>
  </r>
  <r>
    <s v="SUB-0346"/>
    <s v="SYN-0346"/>
    <s v="yes"/>
    <s v="1.0.0"/>
    <s v="ROUND_1"/>
    <d v="2025-05-06T00:00:00"/>
    <d v="2025-02-21T00:00:00"/>
    <s v="EAST"/>
    <s v="E03"/>
    <s v="ENUM_04"/>
    <s v="yes"/>
    <s v="45_54"/>
    <s v="woman"/>
    <n v="4"/>
    <s v="no"/>
    <s v="no"/>
    <m/>
    <s v=""/>
    <m/>
    <m/>
    <m/>
    <s v=""/>
    <n v="5"/>
    <s v="yes"/>
    <s v="community_meeting"/>
    <s v=""/>
    <n v="13.4"/>
    <x v="2"/>
    <x v="1"/>
    <s v="UNMAPPED"/>
    <s v="Community meeting"/>
  </r>
  <r>
    <s v="SUB-0165"/>
    <s v="SYN-0165"/>
    <s v="yes"/>
    <s v="1.0.0"/>
    <s v="ROUND_2"/>
    <d v="2025-09-12T00:00:00"/>
    <d v="2025-04-16T00:00:00"/>
    <s v="EAST"/>
    <s v="E01"/>
    <s v="ENUM_05"/>
    <s v="yes"/>
    <s v="35_44"/>
    <s v="man"/>
    <n v="3"/>
    <s v="no"/>
    <s v="no"/>
    <m/>
    <s v=""/>
    <m/>
    <m/>
    <m/>
    <s v=""/>
    <n v="3"/>
    <s v="yes"/>
    <s v="printed_material"/>
    <s v=""/>
    <n v="22.5"/>
    <x v="2"/>
    <x v="0"/>
    <s v="UNMAPPED"/>
    <s v="Printed material"/>
  </r>
  <r>
    <s v="SUB-0126"/>
    <s v="SYN-0126"/>
    <s v="yes"/>
    <s v="1.0.0"/>
    <s v="ROUND_2"/>
    <d v="2025-06-18T00:00:00"/>
    <d v="2025-05-08T00:00:00"/>
    <s v="WEST"/>
    <s v="W03"/>
    <s v="ENUM_07"/>
    <s v="yes"/>
    <s v="35_44"/>
    <s v="woman"/>
    <n v="6"/>
    <s v="no"/>
    <s v="yes"/>
    <d v="2025-05-27T00:00:00"/>
    <s v="leadership"/>
    <n v="5"/>
    <n v="2"/>
    <n v="3"/>
    <s v="no"/>
    <n v="3"/>
    <s v="no"/>
    <s v=""/>
    <s v=""/>
    <n v="14.5"/>
    <x v="1"/>
    <x v="0"/>
    <s v="Leadership"/>
    <s v="UNMAPPED"/>
  </r>
  <r>
    <s v="SUB-0145"/>
    <s v="SYN-0145"/>
    <s v="yes"/>
    <s v="1.0.0"/>
    <s v="ROUND_1"/>
    <d v="2025-04-14T00:00:00"/>
    <d v="2025-01-27T00:00:00"/>
    <s v="NORTH"/>
    <s v="N03"/>
    <s v="ENUM_08"/>
    <s v="yes"/>
    <s v="25_34"/>
    <s v="man"/>
    <n v="6"/>
    <s v="no"/>
    <s v="yes"/>
    <d v="2025-01-29T00:00:00"/>
    <s v="planning"/>
    <n v="4"/>
    <n v="2"/>
    <n v="2"/>
    <s v="no"/>
    <n v="2"/>
    <s v="no"/>
    <s v=""/>
    <s v=""/>
    <n v="18.100000000000001"/>
    <x v="0"/>
    <x v="1"/>
    <s v="Planning"/>
    <s v="UNMAPPED"/>
  </r>
  <r>
    <s v="SUB-0308"/>
    <s v="SYN-0308"/>
    <s v="yes"/>
    <s v="1.0.0"/>
    <s v="ROUND_2"/>
    <d v="2025-05-31T00:00:00"/>
    <d v="2025-03-10T00:00:00"/>
    <s v="WEST"/>
    <s v="W02"/>
    <s v="ENUM_01"/>
    <s v="yes"/>
    <s v="25_34"/>
    <s v="woman"/>
    <n v="4"/>
    <s v="no"/>
    <s v="yes"/>
    <d v="2025-05-27T00:00:00"/>
    <s v="planning"/>
    <n v="3"/>
    <n v="4"/>
    <n v="5"/>
    <s v="yes"/>
    <n v="4"/>
    <s v="yes"/>
    <s v="radio"/>
    <s v=""/>
    <n v="15"/>
    <x v="1"/>
    <x v="0"/>
    <s v="Planning"/>
    <s v="Radio"/>
  </r>
  <r>
    <s v="SUB-0359"/>
    <s v="SYN-0359"/>
    <s v="yes"/>
    <s v="1.0.0"/>
    <s v="ROUND_2"/>
    <d v="2025-06-09T00:00:00"/>
    <d v="2025-04-15T00:00:00"/>
    <s v="EAST"/>
    <s v="E02"/>
    <s v="ENUM_02"/>
    <s v="yes"/>
    <s v="25_34"/>
    <s v="woman"/>
    <n v="5"/>
    <s v="no"/>
    <s v="yes"/>
    <d v="2025-05-17T00:00:00"/>
    <s v="financial_skills"/>
    <n v="3"/>
    <n v="2"/>
    <n v="3"/>
    <s v="yes"/>
    <n v="1"/>
    <s v="no"/>
    <s v=""/>
    <s v=""/>
    <n v="21.8"/>
    <x v="2"/>
    <x v="0"/>
    <s v="Financial skills"/>
    <s v="UNMAPPED"/>
  </r>
  <r>
    <s v="SUB-0004"/>
    <s v="SYN-0004"/>
    <s v="yes"/>
    <s v="1.0.0"/>
    <s v="ROUND_1"/>
    <d v="2025-09-18T00:00:00"/>
    <d v="2025-06-04T00:00:00"/>
    <s v="SOUTH"/>
    <s v="S03"/>
    <s v="ENUM_01"/>
    <s v="yes"/>
    <s v="25_34"/>
    <s v="woman"/>
    <n v="2"/>
    <s v="no"/>
    <s v="yes"/>
    <d v="2025-06-05T00:00:00"/>
    <s v="leadership"/>
    <n v="4"/>
    <n v="2"/>
    <n v="3"/>
    <s v="yes"/>
    <n v="4"/>
    <s v="yes"/>
    <s v="printed_material"/>
    <s v=""/>
    <n v="18"/>
    <x v="4"/>
    <x v="1"/>
    <s v="Leadership"/>
    <s v="Printed material"/>
  </r>
  <r>
    <s v="SUB-0287"/>
    <s v="SYN-0287"/>
    <s v="yes"/>
    <s v="1.0.0"/>
    <s v="ROUND_2"/>
    <d v="2025-07-17T00:00:00"/>
    <d v="2025-05-10T00:00:00"/>
    <s v="EAST"/>
    <s v="E01"/>
    <s v="ENUM_08"/>
    <s v="yes"/>
    <s v="35_44"/>
    <s v="man"/>
    <n v="4"/>
    <s v="no"/>
    <s v="no"/>
    <m/>
    <s v=""/>
    <m/>
    <m/>
    <m/>
    <s v=""/>
    <n v="5"/>
    <s v="yes"/>
    <s v="printed_material"/>
    <s v=""/>
    <n v="7.1"/>
    <x v="2"/>
    <x v="0"/>
    <s v="UNMAPPED"/>
    <s v="Printed material"/>
  </r>
  <r>
    <s v="SUB-0055"/>
    <s v="SYN-0055"/>
    <s v="yes"/>
    <s v="1.0.0"/>
    <s v="ROUND_1"/>
    <d v="2025-07-12T00:00:00"/>
    <d v="2025-05-21T00:00:00"/>
    <s v="WEST"/>
    <s v="W01"/>
    <s v="ENUM_04"/>
    <s v="yes"/>
    <s v="45_54"/>
    <s v="woman"/>
    <n v="3"/>
    <s v="no"/>
    <s v="yes"/>
    <d v="2025-07-05T00:00:00"/>
    <s v="financial_skills"/>
    <n v="4"/>
    <n v="4"/>
    <n v="5"/>
    <s v="yes"/>
    <n v="4"/>
    <s v="no"/>
    <s v=""/>
    <s v=""/>
    <n v="32.5"/>
    <x v="1"/>
    <x v="1"/>
    <s v="Financial skills"/>
    <s v="UNMAPPED"/>
  </r>
  <r>
    <s v="SUB-0142"/>
    <s v="SYN-0142"/>
    <s v="yes"/>
    <s v="1.0.0"/>
    <s v="ROUND_1"/>
    <d v="2025-08-23T00:00:00"/>
    <d v="2025-04-04T00:00:00"/>
    <s v="WEST"/>
    <s v="W03"/>
    <s v="ENUM_04"/>
    <s v="yes"/>
    <s v="45_54"/>
    <s v="woman"/>
    <n v="4"/>
    <s v="no"/>
    <s v="yes"/>
    <d v="2025-08-16T00:00:00"/>
    <s v="leadership"/>
    <n v="5"/>
    <n v="4"/>
    <n v="5"/>
    <s v="no"/>
    <n v="3"/>
    <s v="yes"/>
    <s v="radio"/>
    <s v=""/>
    <n v="20.3"/>
    <x v="1"/>
    <x v="1"/>
    <s v="Leadership"/>
    <s v="Radio"/>
  </r>
  <r>
    <s v="SUB-0148"/>
    <s v="SYN-0148"/>
    <s v="yes"/>
    <s v="1.0.0"/>
    <s v="ROUND_1"/>
    <d v="2025-08-29T00:00:00"/>
    <d v="2025-06-27T00:00:00"/>
    <s v="WEST"/>
    <s v="W03"/>
    <s v="ENUM_05"/>
    <s v="yes"/>
    <s v="18_24"/>
    <s v="woman"/>
    <n v="3"/>
    <s v="no"/>
    <s v="yes"/>
    <d v="2025-08-16T00:00:00"/>
    <s v="planning"/>
    <n v="3"/>
    <n v="2"/>
    <n v="3"/>
    <s v="no"/>
    <n v="2"/>
    <s v="no"/>
    <s v=""/>
    <s v=""/>
    <n v="19.399999999999999"/>
    <x v="1"/>
    <x v="1"/>
    <s v="Planning"/>
    <s v="UNMAPPED"/>
  </r>
  <r>
    <s v="SUB-0194"/>
    <s v="SYN-0194"/>
    <s v="yes"/>
    <s v="1.0.0"/>
    <s v="ROUND_1"/>
    <d v="2025-08-15T00:00:00"/>
    <d v="2025-04-28T00:00:00"/>
    <s v="SOUTH"/>
    <s v="S01"/>
    <s v="ENUM_02"/>
    <s v="yes"/>
    <s v="25_34"/>
    <s v="woman"/>
    <n v="6"/>
    <s v="yes"/>
    <s v="no"/>
    <m/>
    <s v=""/>
    <m/>
    <m/>
    <m/>
    <s v=""/>
    <n v="4"/>
    <s v="yes"/>
    <s v="printed_material"/>
    <s v=""/>
    <n v="20.5"/>
    <x v="4"/>
    <x v="1"/>
    <s v="UNMAPPED"/>
    <s v="Printed material"/>
  </r>
  <r>
    <s v="SUB-0100"/>
    <s v="SYN-0100"/>
    <s v="yes"/>
    <s v="1.0.0"/>
    <s v="ROUND_2"/>
    <d v="2025-04-08T00:00:00"/>
    <d v="2024-11-14T00:00:00"/>
    <s v="WEST"/>
    <s v="W03"/>
    <s v="ENUM_07"/>
    <s v="yes"/>
    <s v="25_34"/>
    <s v="man"/>
    <n v="10"/>
    <s v="no"/>
    <s v="no"/>
    <m/>
    <s v=""/>
    <m/>
    <m/>
    <m/>
    <s v=""/>
    <n v="3"/>
    <s v="no"/>
    <s v=""/>
    <s v=""/>
    <n v="25.7"/>
    <x v="1"/>
    <x v="0"/>
    <s v="UNMAPPED"/>
    <s v="UNMAPPED"/>
  </r>
  <r>
    <s v="SUB-0210"/>
    <s v="SYN-0210"/>
    <s v="yes"/>
    <s v="1.0.0"/>
    <s v="ROUND_2"/>
    <d v="2025-07-13T00:00:00"/>
    <d v="2025-06-10T00:00:00"/>
    <s v="NORTH"/>
    <s v="N01"/>
    <s v="ENUM_02"/>
    <s v="yes"/>
    <s v="35_44"/>
    <s v="woman"/>
    <n v="12"/>
    <s v="no"/>
    <s v="yes"/>
    <d v="2025-06-22T00:00:00"/>
    <s v="digital_skills"/>
    <n v="4"/>
    <n v="1"/>
    <n v="2"/>
    <s v="yes"/>
    <n v="4"/>
    <s v="yes"/>
    <s v="community_meeting"/>
    <s v=""/>
    <n v="20"/>
    <x v="0"/>
    <x v="0"/>
    <s v="Digital skills"/>
    <s v="Community meeting"/>
  </r>
  <r>
    <s v="SUB-0042"/>
    <s v="SYN-0042"/>
    <s v="yes"/>
    <s v="1.0.0"/>
    <s v=""/>
    <m/>
    <m/>
    <s v=""/>
    <s v=""/>
    <s v=""/>
    <s v="no"/>
    <s v=""/>
    <s v=""/>
    <m/>
    <s v=""/>
    <s v=""/>
    <m/>
    <s v=""/>
    <m/>
    <m/>
    <m/>
    <s v=""/>
    <m/>
    <s v=""/>
    <s v=""/>
    <s v=""/>
    <m/>
    <x v="3"/>
    <x v="2"/>
    <s v="UNMAPPED"/>
    <s v="UNMAPPED"/>
  </r>
  <r>
    <s v="SUB-0281"/>
    <s v="SYN-0281"/>
    <s v="yes"/>
    <s v="1.0.0"/>
    <s v="ROUND_1"/>
    <d v="2025-04-23T00:00:00"/>
    <d v="2025-02-28T00:00:00"/>
    <s v="SOUTH"/>
    <s v="S01"/>
    <s v="ENUM_06"/>
    <s v="yes"/>
    <s v="35_44"/>
    <s v="man"/>
    <n v="6"/>
    <s v="no"/>
    <s v="yes"/>
    <d v="2025-04-08T00:00:00"/>
    <s v="leadership"/>
    <n v="4"/>
    <n v="3"/>
    <n v="4"/>
    <s v="no"/>
    <n v="4"/>
    <s v="no"/>
    <s v=""/>
    <s v="The activity should start earlier so participants can travel home safely."/>
    <n v="10.5"/>
    <x v="4"/>
    <x v="1"/>
    <s v="Leadership"/>
    <s v="UNMAPPED"/>
  </r>
  <r>
    <s v="SUB-0228"/>
    <s v="SYN-0228"/>
    <s v="yes"/>
    <s v="1.0.0"/>
    <s v="ROUND_1"/>
    <d v="2025-06-03T00:00:00"/>
    <d v="2025-02-22T00:00:00"/>
    <s v="NORTH"/>
    <s v="N02"/>
    <s v="ENUM_08"/>
    <s v="yes"/>
    <s v="18_24"/>
    <s v="man"/>
    <n v="4"/>
    <s v="yes"/>
    <s v="yes"/>
    <d v="2025-04-21T00:00:00"/>
    <s v="financial_skills"/>
    <n v="5"/>
    <n v="2"/>
    <n v="4"/>
    <s v="yes"/>
    <n v="3"/>
    <s v="no"/>
    <s v=""/>
    <s v=""/>
    <n v="12.7"/>
    <x v="0"/>
    <x v="1"/>
    <s v="Financial skills"/>
    <s v="UNMAPPED"/>
  </r>
  <r>
    <s v="SUB-0223"/>
    <s v="SYN-0223"/>
    <s v="yes"/>
    <s v="1.0.0"/>
    <s v="ROUND_2"/>
    <d v="2025-05-21T00:00:00"/>
    <d v="2025-04-05T00:00:00"/>
    <s v="WEST"/>
    <s v="W02"/>
    <s v="ENUM_01"/>
    <s v="yes"/>
    <s v="18_24"/>
    <s v="man"/>
    <n v="4"/>
    <s v="no"/>
    <s v="yes"/>
    <d v="2025-05-16T00:00:00"/>
    <s v="financial_skills"/>
    <n v="4"/>
    <n v="1"/>
    <n v="1"/>
    <s v="yes"/>
    <n v="4"/>
    <s v="no"/>
    <s v=""/>
    <s v=""/>
    <n v="10.9"/>
    <x v="1"/>
    <x v="0"/>
    <s v="Financial skills"/>
    <s v="UNMAPPED"/>
  </r>
  <r>
    <s v="SUB-0120"/>
    <s v="SYN-0120"/>
    <s v="yes"/>
    <s v="1.0.0"/>
    <s v="ROUND_2"/>
    <d v="2025-05-03T00:00:00"/>
    <d v="2024-12-25T00:00:00"/>
    <s v="EAST"/>
    <s v="E01"/>
    <s v="ENUM_04"/>
    <s v="yes"/>
    <s v="25_34"/>
    <s v="woman"/>
    <n v="1"/>
    <s v="no"/>
    <s v="yes"/>
    <d v="2025-03-23T00:00:00"/>
    <s v="leadership"/>
    <n v="4"/>
    <n v="2"/>
    <n v="3"/>
    <s v="no"/>
    <n v="3"/>
    <s v="yes"/>
    <s v="community_meeting"/>
    <s v=""/>
    <n v="26.4"/>
    <x v="2"/>
    <x v="0"/>
    <s v="Leadership"/>
    <s v="Community meeting"/>
  </r>
  <r>
    <s v="SUB-0209"/>
    <s v="SYN-0209"/>
    <s v="yes"/>
    <s v="1.0.0"/>
    <s v="ROUND_1"/>
    <d v="2025-05-17T00:00:00"/>
    <d v="2025-02-06T00:00:00"/>
    <s v="EAST"/>
    <s v="E01"/>
    <s v="ENUM_01"/>
    <s v="yes"/>
    <s v="35_44"/>
    <s v="man"/>
    <n v="5"/>
    <s v="yes"/>
    <s v="yes"/>
    <d v="2025-02-06T00:00:00"/>
    <s v="planning"/>
    <n v="4"/>
    <n v="2"/>
    <n v="2"/>
    <s v="yes"/>
    <n v="4"/>
    <s v="yes"/>
    <s v="community_meeting"/>
    <s v=""/>
    <n v="24"/>
    <x v="2"/>
    <x v="1"/>
    <s v="Planning"/>
    <s v="Community meeting"/>
  </r>
  <r>
    <s v="SUB-0191"/>
    <s v="SYN-0191"/>
    <s v="yes"/>
    <s v="1.0.0"/>
    <s v="ROUND_1"/>
    <d v="2025-07-02T00:00:00"/>
    <d v="2025-05-01T00:00:00"/>
    <s v="WEST"/>
    <s v="W01"/>
    <s v="ENUM_04"/>
    <s v="yes"/>
    <s v="25_34"/>
    <s v="man"/>
    <n v="7"/>
    <s v="no"/>
    <s v="yes"/>
    <d v="2025-05-05T00:00:00"/>
    <s v="financial_skills"/>
    <n v="1"/>
    <n v="2"/>
    <n v="3"/>
    <s v="yes"/>
    <n v="2"/>
    <s v="no"/>
    <s v=""/>
    <s v=""/>
    <n v="17.5"/>
    <x v="1"/>
    <x v="1"/>
    <s v="Financial skills"/>
    <s v="UNMAPPED"/>
  </r>
  <r>
    <s v="SUB-0163"/>
    <s v="SYN-0163"/>
    <s v="yes"/>
    <s v="1.0.0"/>
    <s v="ROUND_2"/>
    <d v="2025-09-14T00:00:00"/>
    <d v="2025-05-09T00:00:00"/>
    <s v="SOUTH"/>
    <s v="S03"/>
    <s v="ENUM_01"/>
    <s v="yes"/>
    <s v="55_plus"/>
    <s v="woman"/>
    <n v="6"/>
    <s v="no"/>
    <s v="yes"/>
    <d v="2025-09-08T00:00:00"/>
    <s v="planning"/>
    <n v="4"/>
    <n v="4"/>
    <n v="5"/>
    <s v="no"/>
    <n v="4"/>
    <s v="no"/>
    <s v=""/>
    <s v=""/>
    <n v="17.899999999999999"/>
    <x v="4"/>
    <x v="0"/>
    <s v="Planning"/>
    <s v="UNMAPPED"/>
  </r>
  <r>
    <s v="SUB-0317"/>
    <s v="SYN-0317"/>
    <s v="yes"/>
    <s v="1.0.0"/>
    <s v="ROUND_1"/>
    <d v="2025-07-11T00:00:00"/>
    <d v="2025-05-10T00:00:00"/>
    <s v="EAST"/>
    <s v="E03"/>
    <s v="ENUM_08"/>
    <s v="yes"/>
    <s v="25_34"/>
    <s v="woman"/>
    <n v="0"/>
    <s v="no"/>
    <s v="yes"/>
    <d v="2025-05-31T00:00:00"/>
    <s v="planning"/>
    <n v="4"/>
    <n v="4"/>
    <n v="5"/>
    <s v="yes"/>
    <n v="3"/>
    <s v="no"/>
    <s v=""/>
    <s v=""/>
    <n v="18.100000000000001"/>
    <x v="2"/>
    <x v="1"/>
    <s v="Planning"/>
    <s v="UNMAPPED"/>
  </r>
  <r>
    <s v="SUB-0247"/>
    <s v="SYN-0247"/>
    <s v="yes"/>
    <s v="1.0.0"/>
    <s v="ROUND_1"/>
    <d v="2025-05-15T00:00:00"/>
    <d v="2025-01-11T00:00:00"/>
    <s v="SOUTH"/>
    <s v="S01"/>
    <s v="ENUM_03"/>
    <s v="yes"/>
    <s v="55_plus"/>
    <s v="woman"/>
    <n v="5"/>
    <s v="no"/>
    <s v="yes"/>
    <d v="2025-02-28T00:00:00"/>
    <s v="planning"/>
    <n v="5"/>
    <n v="2"/>
    <n v="3"/>
    <s v="yes"/>
    <n v="4"/>
    <s v="no"/>
    <s v=""/>
    <s v="The group activities helped me learn from other participants."/>
    <n v="19.100000000000001"/>
    <x v="4"/>
    <x v="1"/>
    <s v="Planning"/>
    <s v="UNMAPPED"/>
  </r>
  <r>
    <s v="SUB-0295"/>
    <s v="SYN-0295"/>
    <s v="yes"/>
    <s v="1.0.0"/>
    <s v="ROUND_2"/>
    <d v="2025-05-12T00:00:00"/>
    <d v="2025-02-26T00:00:00"/>
    <s v="WEST"/>
    <s v="W01"/>
    <s v="ENUM_07"/>
    <s v="yes"/>
    <s v="25_34"/>
    <s v="woman"/>
    <n v="5"/>
    <s v="no"/>
    <s v="yes"/>
    <d v="2025-03-22T00:00:00"/>
    <s v="leadership"/>
    <n v="5"/>
    <n v="1"/>
    <n v="1"/>
    <s v="no"/>
    <n v="3"/>
    <s v="yes"/>
    <s v="radio"/>
    <s v=""/>
    <n v="25"/>
    <x v="1"/>
    <x v="0"/>
    <s v="Leadership"/>
    <s v="Radio"/>
  </r>
  <r>
    <s v="SUB-0282"/>
    <s v="SYN-0282"/>
    <s v="yes"/>
    <s v="1.0.0"/>
    <s v="ROUND_1"/>
    <d v="2025-06-14T00:00:00"/>
    <d v="2025-01-20T00:00:00"/>
    <s v="WEST"/>
    <s v="W03"/>
    <s v="ENUM_07"/>
    <s v="yes"/>
    <s v="18_24"/>
    <s v="woman"/>
    <n v="2"/>
    <s v="no"/>
    <s v="yes"/>
    <d v="2025-02-23T00:00:00"/>
    <s v="digital_skills"/>
    <n v="4"/>
    <n v="3"/>
    <n v="5"/>
    <s v="yes"/>
    <n v="3"/>
    <s v="no"/>
    <s v=""/>
    <s v="I have already used one of the planning tools from the session."/>
    <n v="23.3"/>
    <x v="1"/>
    <x v="1"/>
    <s v="Digital skills"/>
    <s v="UNMAPPED"/>
  </r>
  <r>
    <s v="SUB-0019"/>
    <s v="SYN-0019"/>
    <s v="yes"/>
    <s v="1.0.0"/>
    <s v="ROUND_1"/>
    <d v="2025-06-25T00:00:00"/>
    <d v="2025-02-21T00:00:00"/>
    <s v="SOUTH"/>
    <s v="S03"/>
    <s v="ENUM_05"/>
    <s v="yes"/>
    <s v="45_54"/>
    <s v="woman"/>
    <n v="6"/>
    <s v="no"/>
    <s v="yes"/>
    <d v="2025-06-01T00:00:00"/>
    <s v="financial_skills"/>
    <n v="4"/>
    <n v="2"/>
    <n v="3"/>
    <s v="no"/>
    <n v="5"/>
    <s v="no"/>
    <s v=""/>
    <s v=""/>
    <n v="30.1"/>
    <x v="4"/>
    <x v="1"/>
    <s v="Financial skills"/>
    <s v="UNMAPPED"/>
  </r>
  <r>
    <s v="SUB-0196"/>
    <s v="SYN-0196"/>
    <s v="yes"/>
    <s v="1.0.0"/>
    <s v="ROUND_2"/>
    <d v="2025-07-16T00:00:00"/>
    <d v="2025-05-31T00:00:00"/>
    <s v="EAST"/>
    <s v="E02"/>
    <s v="ENUM_07"/>
    <s v="yes"/>
    <s v="55_plus"/>
    <s v="woman"/>
    <n v="6"/>
    <s v="no"/>
    <s v="yes"/>
    <d v="2025-06-25T00:00:00"/>
    <s v="leadership"/>
    <n v="5"/>
    <n v="1"/>
    <n v="1"/>
    <s v="yes"/>
    <n v="4"/>
    <s v="no"/>
    <s v=""/>
    <s v=""/>
    <n v="18.899999999999999"/>
    <x v="2"/>
    <x v="0"/>
    <s v="Leadership"/>
    <s v="UNMAPPED"/>
  </r>
  <r>
    <s v="SUB-0257"/>
    <s v="SYN-0257"/>
    <s v="yes"/>
    <s v="1.0.0"/>
    <s v="ROUND_2"/>
    <d v="2025-07-29T00:00:00"/>
    <d v="2025-03-23T00:00:00"/>
    <s v="EAST"/>
    <s v="E03"/>
    <s v="ENUM_04"/>
    <s v="yes"/>
    <s v="45_54"/>
    <s v="man"/>
    <n v="5"/>
    <s v="no"/>
    <s v="yes"/>
    <d v="2025-04-08T00:00:00"/>
    <s v="digital_skills"/>
    <n v="5"/>
    <n v="1"/>
    <n v="3"/>
    <s v="yes"/>
    <n v="2"/>
    <s v="no"/>
    <s v=""/>
    <s v=""/>
    <n v="16.100000000000001"/>
    <x v="2"/>
    <x v="0"/>
    <s v="Digital skills"/>
    <s v="UNMAPPED"/>
  </r>
  <r>
    <s v="SUB-0366"/>
    <s v="SYN-0366"/>
    <s v="yes"/>
    <s v="1.0.0"/>
    <s v="ROUND_2"/>
    <d v="2025-05-29T00:00:00"/>
    <d v="2025-03-10T00:00:00"/>
    <s v="NORTH"/>
    <s v="N03"/>
    <s v="ENUM_08"/>
    <s v="yes"/>
    <s v="35_44"/>
    <s v="man"/>
    <n v="3"/>
    <s v="no"/>
    <s v="yes"/>
    <d v="2025-03-24T00:00:00"/>
    <s v="planning"/>
    <n v="5"/>
    <n v="1"/>
    <n v="2"/>
    <s v="yes"/>
    <n v="4"/>
    <s v="no"/>
    <s v=""/>
    <s v=""/>
    <n v="15.5"/>
    <x v="0"/>
    <x v="0"/>
    <s v="Planning"/>
    <s v="UNMAPPED"/>
  </r>
  <r>
    <s v="SUB-0050"/>
    <s v="SYN-0050"/>
    <s v="yes"/>
    <s v="1.0.0"/>
    <s v="ROUND_2"/>
    <d v="2025-06-26T00:00:00"/>
    <d v="2025-04-04T00:00:00"/>
    <s v="WEST"/>
    <s v="W03"/>
    <s v="ENUM_02"/>
    <s v="yes"/>
    <s v="45_54"/>
    <s v="man"/>
    <n v="6"/>
    <s v="no"/>
    <s v="yes"/>
    <d v="2025-05-24T00:00:00"/>
    <s v="planning"/>
    <n v="5"/>
    <n v="1"/>
    <n v="3"/>
    <s v="yes"/>
    <n v="3"/>
    <s v="no"/>
    <s v=""/>
    <s v=""/>
    <n v="20.100000000000001"/>
    <x v="1"/>
    <x v="0"/>
    <s v="Planning"/>
    <s v="UNMAPPED"/>
  </r>
  <r>
    <s v="SUB-0160"/>
    <s v="SYN-0160"/>
    <s v="yes"/>
    <s v="1.0.0"/>
    <s v="ROUND_1"/>
    <d v="2025-05-08T00:00:00"/>
    <d v="2025-01-22T00:00:00"/>
    <s v="SOUTH"/>
    <s v="S02"/>
    <s v="ENUM_02"/>
    <s v="yes"/>
    <s v="45_54"/>
    <s v="woman"/>
    <n v="5"/>
    <s v="no"/>
    <s v="yes"/>
    <d v="2025-03-11T00:00:00"/>
    <s v="planning"/>
    <n v="5"/>
    <n v="3"/>
    <n v="3"/>
    <s v="yes"/>
    <n v="4"/>
    <s v="no"/>
    <s v=""/>
    <s v=""/>
    <n v="11.5"/>
    <x v="4"/>
    <x v="1"/>
    <s v="Planning"/>
    <s v="UNMAPPED"/>
  </r>
  <r>
    <s v="SUB-0038"/>
    <s v="SYN-0038"/>
    <s v="yes"/>
    <s v="1.0.0"/>
    <s v="ROUND_2"/>
    <d v="2025-06-20T00:00:00"/>
    <d v="2025-04-06T00:00:00"/>
    <s v="WEST"/>
    <s v="W02"/>
    <s v="ENUM_06"/>
    <s v="yes"/>
    <s v="35_44"/>
    <s v="woman"/>
    <n v="4"/>
    <s v="no"/>
    <s v="yes"/>
    <d v="2025-04-20T00:00:00"/>
    <s v="financial_skills"/>
    <n v="4"/>
    <n v="2"/>
    <n v="3"/>
    <s v="no"/>
    <n v="2"/>
    <s v="no"/>
    <s v=""/>
    <s v=""/>
    <n v="19"/>
    <x v="1"/>
    <x v="0"/>
    <s v="Financial skills"/>
    <s v="UNMAPPED"/>
  </r>
  <r>
    <s v="SUB-0327"/>
    <s v="SYN-0327"/>
    <s v="yes"/>
    <s v="1.0.0"/>
    <s v="ROUND_2"/>
    <d v="2025-06-08T00:00:00"/>
    <d v="2025-04-08T00:00:00"/>
    <s v="EAST"/>
    <s v="E01"/>
    <s v="ENUM_06"/>
    <s v="yes"/>
    <s v="45_54"/>
    <s v="woman"/>
    <n v="5"/>
    <s v="no"/>
    <s v="yes"/>
    <d v="2025-06-06T00:00:00"/>
    <s v="leadership"/>
    <n v="5"/>
    <n v="2"/>
    <n v="2"/>
    <s v="yes"/>
    <n v="4"/>
    <s v="yes"/>
    <s v="community_meeting"/>
    <s v=""/>
    <n v="20.399999999999999"/>
    <x v="2"/>
    <x v="0"/>
    <s v="Leadership"/>
    <s v="Community meeting"/>
  </r>
  <r>
    <s v="SUB-0339"/>
    <s v="SYN-0339"/>
    <s v="yes"/>
    <s v="1.0.0"/>
    <s v="ROUND_1"/>
    <d v="2025-04-04T00:00:00"/>
    <d v="2024-11-24T00:00:00"/>
    <s v="WEST"/>
    <s v="W03"/>
    <s v="ENUM_03"/>
    <s v="yes"/>
    <s v="25_34"/>
    <s v="woman"/>
    <n v="12"/>
    <s v="no"/>
    <s v="yes"/>
    <d v="2025-01-03T00:00:00"/>
    <s v="planning"/>
    <n v="3"/>
    <n v="2"/>
    <n v="3"/>
    <s v="yes"/>
    <n v="5"/>
    <s v="no"/>
    <s v=""/>
    <s v=""/>
    <n v="8.1999999999999993"/>
    <x v="1"/>
    <x v="1"/>
    <s v="Planning"/>
    <s v="UNMAPPED"/>
  </r>
  <r>
    <s v="SUB-0277"/>
    <s v="SYN-0277"/>
    <s v="yes"/>
    <s v="1.0.0"/>
    <s v="ROUND_1"/>
    <d v="2025-06-23T00:00:00"/>
    <d v="2025-02-24T00:00:00"/>
    <s v="NORTH"/>
    <s v="N02"/>
    <s v="ENUM_02"/>
    <s v="yes"/>
    <s v="35_44"/>
    <s v="man"/>
    <n v="1"/>
    <s v="no"/>
    <s v="yes"/>
    <d v="2025-05-31T00:00:00"/>
    <s v="digital_skills"/>
    <n v="1"/>
    <n v="1"/>
    <n v="2"/>
    <s v="no"/>
    <n v="4"/>
    <s v="no"/>
    <s v=""/>
    <s v=""/>
    <n v="21"/>
    <x v="0"/>
    <x v="1"/>
    <s v="Digital skills"/>
    <s v="UNMAPPED"/>
  </r>
  <r>
    <s v="SUB-0328"/>
    <s v="SYN-0328"/>
    <s v="yes"/>
    <s v="1.0.0"/>
    <s v="ROUND_2"/>
    <d v="2025-04-26T00:00:00"/>
    <d v="2024-12-14T00:00:00"/>
    <s v="NORTH"/>
    <s v="N01"/>
    <s v="ENUM_03"/>
    <s v="yes"/>
    <s v="18_24"/>
    <s v="man"/>
    <n v="4"/>
    <s v="yes"/>
    <s v="yes"/>
    <d v="2025-04-04T00:00:00"/>
    <s v="leadership"/>
    <n v="5"/>
    <n v="2"/>
    <n v="3"/>
    <s v="yes"/>
    <n v="4"/>
    <s v="yes"/>
    <s v="printed_material"/>
    <s v=""/>
    <n v="23.7"/>
    <x v="0"/>
    <x v="0"/>
    <s v="Leadership"/>
    <s v="Printed material"/>
  </r>
  <r>
    <s v="SUB-0278"/>
    <s v="SYN-0278"/>
    <s v="yes"/>
    <s v="1.0.0"/>
    <s v="ROUND_2"/>
    <d v="2025-04-26T00:00:00"/>
    <d v="2025-01-09T00:00:00"/>
    <s v="SOUTH"/>
    <s v="S03"/>
    <s v="ENUM_06"/>
    <s v="yes"/>
    <s v="18_24"/>
    <s v="woman"/>
    <n v="5"/>
    <s v="yes"/>
    <s v="yes"/>
    <d v="2025-02-17T00:00:00"/>
    <s v="financial_skills"/>
    <n v="4"/>
    <n v="3"/>
    <n v="5"/>
    <s v="yes"/>
    <n v="4"/>
    <s v="yes"/>
    <s v="printed_material"/>
    <s v=""/>
    <n v="11.1"/>
    <x v="4"/>
    <x v="0"/>
    <s v="Financial skills"/>
    <s v="Printed material"/>
  </r>
  <r>
    <s v="SUB-0168"/>
    <s v="SYN-0168"/>
    <s v="yes"/>
    <s v="1.0.0"/>
    <s v="ROUND_1"/>
    <d v="2025-06-22T00:00:00"/>
    <d v="2025-02-04T00:00:00"/>
    <s v="NORTH"/>
    <s v="N03"/>
    <s v="ENUM_02"/>
    <s v="yes"/>
    <s v="45_54"/>
    <s v="woman"/>
    <n v="5"/>
    <s v="no"/>
    <s v="no"/>
    <m/>
    <s v=""/>
    <m/>
    <m/>
    <m/>
    <s v=""/>
    <n v="4"/>
    <s v="no"/>
    <s v=""/>
    <s v=""/>
    <n v="23.8"/>
    <x v="0"/>
    <x v="1"/>
    <s v="UNMAPPED"/>
    <s v="UNMAPPED"/>
  </r>
  <r>
    <s v="SUB-0002"/>
    <s v="SYN-0002"/>
    <s v="yes"/>
    <s v="1.0.0"/>
    <s v="ROUND_1"/>
    <d v="2025-07-19T00:00:00"/>
    <d v="2025-04-19T00:00:00"/>
    <s v="WEST"/>
    <s v="W01"/>
    <s v="ENUM_03"/>
    <s v="yes"/>
    <s v="18_24"/>
    <s v="man"/>
    <n v="6"/>
    <s v="no"/>
    <s v="no"/>
    <m/>
    <s v=""/>
    <m/>
    <m/>
    <m/>
    <s v=""/>
    <n v="3"/>
    <s v="no"/>
    <s v=""/>
    <s v=""/>
    <n v="8.3000000000000007"/>
    <x v="1"/>
    <x v="1"/>
    <s v="UNMAPPED"/>
    <s v="UNMAPPED"/>
  </r>
  <r>
    <s v="SUB-0274"/>
    <s v="SYN-0274"/>
    <s v="yes"/>
    <s v="1.0.0"/>
    <s v="ROUND_1"/>
    <d v="2025-09-20T00:00:00"/>
    <d v="2025-08-21T00:00:00"/>
    <s v="EAST"/>
    <s v="E02"/>
    <s v="ENUM_04"/>
    <s v="yes"/>
    <s v="45_54"/>
    <s v="woman"/>
    <n v="2"/>
    <s v="no"/>
    <s v="no"/>
    <m/>
    <s v=""/>
    <m/>
    <m/>
    <m/>
    <s v=""/>
    <n v="4"/>
    <s v="no"/>
    <s v=""/>
    <s v=""/>
    <n v="6.5"/>
    <x v="2"/>
    <x v="1"/>
    <s v="UNMAPPED"/>
    <s v="UNMAPPED"/>
  </r>
  <r>
    <s v="SUB-0178"/>
    <s v="SYN-0178"/>
    <s v="yes"/>
    <s v="1.0.0"/>
    <s v="ROUND_1"/>
    <d v="2025-08-22T00:00:00"/>
    <d v="2025-06-15T00:00:00"/>
    <s v="WEST"/>
    <s v="W01"/>
    <s v="ENUM_06"/>
    <s v="yes"/>
    <s v="35_44"/>
    <s v="man"/>
    <n v="7"/>
    <s v="no"/>
    <s v="no"/>
    <d v="2025-08-22T00:00:00"/>
    <s v="digital_skills"/>
    <n v="4"/>
    <n v="2"/>
    <n v="4"/>
    <s v="yes"/>
    <n v="5"/>
    <s v="no"/>
    <s v=""/>
    <s v="A follow-up session on digital tools would be helpful."/>
    <n v="10.8"/>
    <x v="1"/>
    <x v="1"/>
    <s v="Digital skills"/>
    <s v="UNMAPPED"/>
  </r>
  <r>
    <s v="SUB-0375"/>
    <s v="SYN-0375"/>
    <s v="yes"/>
    <s v="1.0.0"/>
    <s v="ROUND_2"/>
    <d v="2025-09-02T00:00:00"/>
    <d v="2025-05-05T00:00:00"/>
    <s v="WEST"/>
    <s v="W01"/>
    <s v="ENUM_04"/>
    <s v="yes"/>
    <s v="45_54"/>
    <s v="man"/>
    <n v="10"/>
    <s v="no"/>
    <s v="yes"/>
    <d v="2025-06-25T00:00:00"/>
    <s v="financial_skills"/>
    <n v="2"/>
    <n v="4"/>
    <n v="5"/>
    <s v="no"/>
    <n v="4"/>
    <s v="yes"/>
    <s v="printed_material"/>
    <s v=""/>
    <n v="12.3"/>
    <x v="1"/>
    <x v="0"/>
    <s v="Financial skills"/>
    <s v="Printed material"/>
  </r>
  <r>
    <s v="SUB-0235"/>
    <s v="SYN-0235"/>
    <s v="yes"/>
    <s v="1.0.0"/>
    <s v="ROUND_2"/>
    <d v="2025-09-04T00:00:00"/>
    <d v="2025-08-01T00:00:00"/>
    <s v="WEST"/>
    <s v="W01"/>
    <s v="ENUM_07"/>
    <s v="yes"/>
    <s v="35_44"/>
    <s v="woman"/>
    <n v="3"/>
    <s v="no"/>
    <s v="yes"/>
    <d v="2025-08-12T00:00:00"/>
    <s v="digital_skills"/>
    <n v="4"/>
    <n v="3"/>
    <n v="4"/>
    <s v="yes"/>
    <n v="5"/>
    <s v="no"/>
    <s v=""/>
    <s v=""/>
    <n v="16.100000000000001"/>
    <x v="1"/>
    <x v="0"/>
    <s v="Digital skills"/>
    <s v="UNMAPPED"/>
  </r>
  <r>
    <s v="SUB-0008"/>
    <s v="SYN-0008"/>
    <s v="yes"/>
    <s v="1.0.0"/>
    <s v="ROUND_2"/>
    <d v="2025-04-16T00:00:00"/>
    <d v="2025-02-14T00:00:00"/>
    <s v="NORTH"/>
    <s v="N03"/>
    <s v="ENUM_07"/>
    <s v="yes"/>
    <s v="18_24"/>
    <s v="woman"/>
    <n v="5"/>
    <s v="no"/>
    <s v="no"/>
    <m/>
    <s v=""/>
    <m/>
    <m/>
    <m/>
    <s v=""/>
    <n v="4"/>
    <s v="no"/>
    <s v=""/>
    <s v=""/>
    <n v="13.8"/>
    <x v="0"/>
    <x v="0"/>
    <s v="UNMAPPED"/>
    <s v="UNMAPPED"/>
  </r>
  <r>
    <s v="SUB-0250"/>
    <s v="SYN-0250"/>
    <s v="yes"/>
    <s v="1.0.0"/>
    <s v="ROUND_2"/>
    <d v="2025-09-21T00:00:00"/>
    <d v="2025-04-25T00:00:00"/>
    <s v="SOUTH"/>
    <s v="S03"/>
    <s v="ENUM_06"/>
    <s v="yes"/>
    <s v="35_44"/>
    <s v="woman"/>
    <n v="2"/>
    <s v="no"/>
    <s v="yes"/>
    <d v="2025-08-11T00:00:00"/>
    <s v="financial_skills"/>
    <n v="4"/>
    <n v="3"/>
    <n v="5"/>
    <s v="no"/>
    <n v="5"/>
    <s v="no"/>
    <s v=""/>
    <s v=""/>
    <n v="12.3"/>
    <x v="4"/>
    <x v="0"/>
    <s v="Financial skills"/>
    <s v="UNMAPPED"/>
  </r>
  <r>
    <s v="SUB-0085"/>
    <s v="SYN-0085"/>
    <s v="yes"/>
    <s v="1.0.0"/>
    <s v="ROUND_2"/>
    <d v="2025-09-14T00:00:00"/>
    <d v="2025-05-18T00:00:00"/>
    <s v="SOUTH"/>
    <s v="S02"/>
    <s v="ENUM_07"/>
    <s v="yes"/>
    <s v="35_44"/>
    <s v="man"/>
    <n v="4"/>
    <s v="no"/>
    <s v="yes"/>
    <d v="2025-06-08T00:00:00"/>
    <s v="planning"/>
    <n v="2"/>
    <n v="4"/>
    <n v="5"/>
    <s v="yes"/>
    <n v="5"/>
    <s v="no"/>
    <s v=""/>
    <s v=""/>
    <n v="19.100000000000001"/>
    <x v="4"/>
    <x v="0"/>
    <s v="Planning"/>
    <s v="UNMAPPED"/>
  </r>
  <r>
    <s v="SUB-0135"/>
    <s v="SYN-0135"/>
    <s v="yes"/>
    <s v="1.0.0"/>
    <s v="ROUND_2"/>
    <d v="2025-04-22T00:00:00"/>
    <d v="2025-01-30T00:00:00"/>
    <s v="WEST"/>
    <s v="W01"/>
    <s v="ENUM_08"/>
    <s v="yes"/>
    <s v="18_24"/>
    <s v="woman"/>
    <n v="4"/>
    <s v="yes"/>
    <s v="no"/>
    <d v="2025-04-22T00:00:00"/>
    <s v="digital_skills"/>
    <n v="4"/>
    <n v="2"/>
    <n v="4"/>
    <s v="yes"/>
    <n v="4"/>
    <s v="no"/>
    <s v=""/>
    <s v=""/>
    <n v="10"/>
    <x v="1"/>
    <x v="0"/>
    <s v="Digital skills"/>
    <s v="UNMAPPED"/>
  </r>
  <r>
    <s v="SUB-0272"/>
    <s v="SYN-0272"/>
    <s v="yes"/>
    <s v="1.0.0"/>
    <s v="ROUND_1"/>
    <d v="2025-08-19T00:00:00"/>
    <d v="2025-05-09T00:00:00"/>
    <s v="SOUTH"/>
    <s v="S03"/>
    <s v="ENUM_07"/>
    <s v="yes"/>
    <s v="18_24"/>
    <s v="man"/>
    <n v="3"/>
    <s v="no"/>
    <s v="yes"/>
    <d v="2025-05-19T00:00:00"/>
    <s v="digital_skills"/>
    <n v="4"/>
    <n v="2"/>
    <n v="2"/>
    <s v="yes"/>
    <n v="3"/>
    <s v="yes"/>
    <s v="community_meeting"/>
    <s v=""/>
    <n v="10.6"/>
    <x v="4"/>
    <x v="1"/>
    <s v="Digital skills"/>
    <s v="Community meeting"/>
  </r>
  <r>
    <s v="SUB-0073"/>
    <s v="SYN-0073"/>
    <s v="yes"/>
    <s v="1.0.0"/>
    <s v="ROUND_1"/>
    <d v="2025-08-29T00:00:00"/>
    <d v="2025-09-12T00:00:00"/>
    <s v="EAST"/>
    <s v="E03"/>
    <s v="ENUM_04"/>
    <s v="yes"/>
    <s v="18_24"/>
    <s v="woman"/>
    <n v="5"/>
    <s v="no"/>
    <s v="yes"/>
    <d v="2025-05-28T00:00:00"/>
    <s v="financial_skills"/>
    <n v="3"/>
    <n v="4"/>
    <n v="4"/>
    <s v="yes"/>
    <n v="5"/>
    <s v="yes"/>
    <s v="radio"/>
    <s v=""/>
    <n v="17.5"/>
    <x v="2"/>
    <x v="1"/>
    <s v="Financial skills"/>
    <s v="Radio"/>
  </r>
  <r>
    <s v="SUB-0144"/>
    <s v="SYN-0144"/>
    <s v="yes"/>
    <s v="1.0.0"/>
    <s v="ROUND_2"/>
    <d v="2025-06-07T00:00:00"/>
    <d v="2025-03-13T00:00:00"/>
    <s v="WEST"/>
    <s v=""/>
    <s v="ENUM_07"/>
    <s v="yes"/>
    <s v="35_44"/>
    <s v="woman"/>
    <n v="6"/>
    <s v="no"/>
    <s v="yes"/>
    <d v="2025-03-21T00:00:00"/>
    <s v="financial_skills"/>
    <n v="3"/>
    <n v="2"/>
    <n v="3"/>
    <s v="yes"/>
    <n v="3"/>
    <s v="no"/>
    <s v=""/>
    <s v=""/>
    <n v="4"/>
    <x v="1"/>
    <x v="0"/>
    <s v="Financial skills"/>
    <s v="UNMAPPED"/>
  </r>
  <r>
    <s v="SUB-0103"/>
    <s v="SYN-0103"/>
    <s v="yes"/>
    <s v="1.0.0"/>
    <s v="ROUND_1"/>
    <d v="2025-05-04T00:00:00"/>
    <d v="2024-12-06T00:00:00"/>
    <s v="NORTH"/>
    <s v="N03"/>
    <s v="ENUM_06"/>
    <s v="yes"/>
    <s v="25_34"/>
    <s v="man"/>
    <n v="8"/>
    <s v="yes"/>
    <s v="yes"/>
    <d v="2024-12-11T00:00:00"/>
    <s v="leadership"/>
    <n v="4"/>
    <n v="3"/>
    <n v="3"/>
    <s v="yes"/>
    <n v="2"/>
    <s v="no"/>
    <s v=""/>
    <s v=""/>
    <n v="27.4"/>
    <x v="0"/>
    <x v="1"/>
    <s v="Leadership"/>
    <s v="UNMAPPED"/>
  </r>
  <r>
    <s v="SUB-0017"/>
    <s v="SYN-0017"/>
    <s v="yes"/>
    <s v="1.0.0"/>
    <s v="ROUND_2"/>
    <d v="2025-09-15T00:00:00"/>
    <d v="2025-04-21T00:00:00"/>
    <s v="EAST"/>
    <s v="E02"/>
    <s v="ENUM_07"/>
    <s v="yes"/>
    <s v="55_plus"/>
    <s v="woman"/>
    <n v="6"/>
    <s v="no"/>
    <s v="yes"/>
    <d v="2025-08-26T00:00:00"/>
    <s v="financial_skills"/>
    <n v="1"/>
    <n v="1"/>
    <n v="2"/>
    <s v="no"/>
    <n v="3"/>
    <s v="no"/>
    <s v=""/>
    <s v=""/>
    <n v="21.2"/>
    <x v="2"/>
    <x v="0"/>
    <s v="Financial skills"/>
    <s v="UNMAPPED"/>
  </r>
  <r>
    <s v="SUB-0094"/>
    <s v="SYN-0094"/>
    <s v="yes"/>
    <s v="1.0.0"/>
    <s v="ROUND_1"/>
    <d v="2025-08-31T00:00:00"/>
    <d v="2025-05-10T00:00:00"/>
    <s v="SOUTH"/>
    <s v="S03"/>
    <s v="ENUM_01"/>
    <s v="yes"/>
    <s v="45_54"/>
    <s v="man"/>
    <n v="6"/>
    <s v="no"/>
    <s v="yes"/>
    <d v="2025-07-20T00:00:00"/>
    <s v="leadership"/>
    <n v="5"/>
    <n v="3"/>
    <n v="5"/>
    <s v="no"/>
    <n v="3"/>
    <s v="yes"/>
    <s v="community_meeting"/>
    <s v="A location closer to the community would improve attendance."/>
    <n v="16.7"/>
    <x v="4"/>
    <x v="1"/>
    <s v="Leadership"/>
    <s v="Community meeting"/>
  </r>
  <r>
    <s v="SUB-0062"/>
    <s v="SYN-0062"/>
    <s v="yes"/>
    <s v="1.0.0"/>
    <s v="ROUND_1"/>
    <d v="2025-08-22T00:00:00"/>
    <d v="2025-07-22T00:00:00"/>
    <s v="SOUTH"/>
    <s v="S03"/>
    <s v="ENUM_02"/>
    <s v="yes"/>
    <s v="45_54"/>
    <s v="man"/>
    <n v="5"/>
    <s v="yes"/>
    <s v="yes"/>
    <d v="2025-07-30T00:00:00"/>
    <s v="planning"/>
    <n v="3"/>
    <n v="3"/>
    <n v="4"/>
    <s v="no"/>
    <n v="4"/>
    <s v="yes"/>
    <s v="community_meeting"/>
    <s v=""/>
    <n v="27.9"/>
    <x v="4"/>
    <x v="1"/>
    <s v="Planning"/>
    <s v="Community meeting"/>
  </r>
  <r>
    <s v="SUB-0182"/>
    <s v="SYN-0182"/>
    <s v="yes"/>
    <s v="1.0.0"/>
    <s v="ROUND_1"/>
    <d v="2025-05-14T00:00:00"/>
    <d v="2025-04-10T00:00:00"/>
    <s v="NORTH"/>
    <s v="N02"/>
    <s v="ENUM_05"/>
    <s v="yes"/>
    <s v="55_plus"/>
    <s v="non_binary"/>
    <n v="4"/>
    <s v="no"/>
    <s v="yes"/>
    <d v="2025-04-16T00:00:00"/>
    <s v="leadership"/>
    <n v="4"/>
    <n v="3"/>
    <n v="4"/>
    <s v="yes"/>
    <n v="3"/>
    <s v="no"/>
    <s v=""/>
    <s v=""/>
    <n v="24.7"/>
    <x v="0"/>
    <x v="1"/>
    <s v="Leadership"/>
    <s v="UNMAPPED"/>
  </r>
  <r>
    <s v="SUB-0007"/>
    <s v="SYN-0007"/>
    <s v="yes"/>
    <s v="1.0.0"/>
    <s v="ROUND_2"/>
    <d v="2025-08-15T00:00:00"/>
    <d v="2025-04-03T00:00:00"/>
    <s v="SOUTH"/>
    <s v="S02"/>
    <s v="ENUM_01"/>
    <s v="yes"/>
    <s v="35_44"/>
    <s v="non_binary"/>
    <n v="5"/>
    <s v="no"/>
    <s v="yes"/>
    <d v="2025-04-15T00:00:00"/>
    <s v="digital_skills"/>
    <n v="4"/>
    <n v="4"/>
    <n v="5"/>
    <s v="yes"/>
    <n v="2"/>
    <s v="yes"/>
    <s v="printed_material"/>
    <s v=""/>
    <n v="4"/>
    <x v="4"/>
    <x v="0"/>
    <s v="Digital skills"/>
    <s v="Printed material"/>
  </r>
  <r>
    <s v="SUB-0195"/>
    <s v="SYN-0195"/>
    <s v="yes"/>
    <s v="1.0.0"/>
    <s v="ROUND_1"/>
    <d v="2025-06-30T00:00:00"/>
    <d v="2025-03-11T00:00:00"/>
    <s v="NORTH"/>
    <s v="N03"/>
    <s v="ENUM_05"/>
    <s v="yes"/>
    <s v="35_44"/>
    <s v="man"/>
    <n v="4"/>
    <s v="no"/>
    <s v="yes"/>
    <d v="2025-06-18T00:00:00"/>
    <s v="leadership"/>
    <n v="2"/>
    <n v="1"/>
    <n v="2"/>
    <s v="yes"/>
    <n v="4"/>
    <s v="no"/>
    <s v=""/>
    <s v=""/>
    <n v="18.8"/>
    <x v="0"/>
    <x v="1"/>
    <s v="Leadership"/>
    <s v="UNMAPPED"/>
  </r>
  <r>
    <s v="SUB-0365"/>
    <s v="SYN-0365"/>
    <s v="yes"/>
    <s v="1.0.0"/>
    <s v="ROUND_1"/>
    <d v="2025-08-17T00:00:00"/>
    <d v="2025-06-16T00:00:00"/>
    <s v="WEST"/>
    <s v="W01"/>
    <s v="ENUM_01"/>
    <s v="yes"/>
    <s v="35_44"/>
    <s v="woman"/>
    <n v="5"/>
    <s v="no"/>
    <s v="yes"/>
    <d v="2025-06-20T00:00:00"/>
    <s v="financial_skills"/>
    <n v="1"/>
    <n v="3"/>
    <n v="4"/>
    <s v="yes"/>
    <n v="4"/>
    <s v="yes"/>
    <s v="radio"/>
    <s v="The facilitator explained the topic clearly and respectfully."/>
    <n v="9.3000000000000007"/>
    <x v="1"/>
    <x v="1"/>
    <s v="Financial skills"/>
    <s v="Radio"/>
  </r>
  <r>
    <s v="SUB-0013"/>
    <s v="SYN-0013"/>
    <s v="yes"/>
    <s v="1.0.0"/>
    <s v="ROUND_2"/>
    <d v="2025-07-22T00:00:00"/>
    <d v="2025-05-13T00:00:00"/>
    <s v="SOUTH"/>
    <s v="S03"/>
    <s v="ENUM_07"/>
    <s v="yes"/>
    <s v="25_34"/>
    <s v="man"/>
    <n v="7"/>
    <s v="no"/>
    <s v="no"/>
    <m/>
    <s v=""/>
    <m/>
    <m/>
    <m/>
    <s v=""/>
    <n v="5"/>
    <s v="no"/>
    <s v=""/>
    <s v=""/>
    <n v="11"/>
    <x v="4"/>
    <x v="0"/>
    <s v="UNMAPPED"/>
    <s v="UNMAPPED"/>
  </r>
  <r>
    <s v="SUB-0262"/>
    <s v="SYN-0262"/>
    <s v="yes"/>
    <s v="1.0.0"/>
    <s v="ROUND_2"/>
    <d v="2025-06-23T00:00:00"/>
    <d v="2025-03-06T00:00:00"/>
    <s v="WEST"/>
    <s v="W01"/>
    <s v="ENUM_08"/>
    <s v="yes"/>
    <s v="18_24"/>
    <s v="prefer_not"/>
    <n v="4"/>
    <s v="no"/>
    <s v="yes"/>
    <d v="2025-06-03T00:00:00"/>
    <s v="digital_skills"/>
    <n v="4"/>
    <n v="3"/>
    <n v="5"/>
    <s v="no"/>
    <n v="5"/>
    <s v="no"/>
    <s v=""/>
    <s v=""/>
    <n v="19.2"/>
    <x v="1"/>
    <x v="0"/>
    <s v="Digital skills"/>
    <s v="UNMAPPED"/>
  </r>
  <r>
    <s v="SUB-0289"/>
    <s v="SYN-0289"/>
    <s v="yes"/>
    <s v="1.0.0"/>
    <s v="ROUND_1"/>
    <d v="2025-06-05T00:00:00"/>
    <d v="2025-01-31T00:00:00"/>
    <s v="SOUTH"/>
    <s v="S01"/>
    <s v="ENUM_07"/>
    <s v="yes"/>
    <s v="25_34"/>
    <s v=""/>
    <n v="5"/>
    <s v="yes"/>
    <s v="yes"/>
    <d v="2025-02-11T00:00:00"/>
    <s v="leadership"/>
    <n v="4"/>
    <n v="1"/>
    <n v="1"/>
    <s v="yes"/>
    <n v="2"/>
    <s v="no"/>
    <s v=""/>
    <s v="I have already used one of the planning tools from the session."/>
    <n v="14.8"/>
    <x v="4"/>
    <x v="1"/>
    <s v="Leadership"/>
    <s v="UNMAPPED"/>
  </r>
  <r>
    <s v="SUB-0207"/>
    <s v="SYN-0207"/>
    <s v="yes"/>
    <s v="1.0.0"/>
    <s v="ROUND_1"/>
    <d v="2025-06-25T00:00:00"/>
    <d v="2025-04-20T00:00:00"/>
    <s v="EAST"/>
    <s v="E01"/>
    <s v="ENUM_08"/>
    <s v="yes"/>
    <s v="45_54"/>
    <s v="man"/>
    <n v="9"/>
    <s v="no"/>
    <s v="no"/>
    <m/>
    <s v=""/>
    <m/>
    <m/>
    <m/>
    <s v=""/>
    <n v="2"/>
    <s v="no"/>
    <s v=""/>
    <s v=""/>
    <n v="12.5"/>
    <x v="2"/>
    <x v="1"/>
    <s v="UNMAPPED"/>
    <s v="UNMAPPED"/>
  </r>
  <r>
    <s v="SUB-0155"/>
    <s v="SYN-0155"/>
    <s v="yes"/>
    <s v="1.0.0"/>
    <s v="ROUND_1"/>
    <d v="2025-04-20T00:00:00"/>
    <d v="2024-12-18T00:00:00"/>
    <s v="WEST"/>
    <s v="W03"/>
    <s v="ENUM_02"/>
    <s v="yes"/>
    <s v="25_34"/>
    <s v="non_binary"/>
    <n v="4"/>
    <s v="no"/>
    <s v="yes"/>
    <d v="2025-04-01T00:00:00"/>
    <s v="financial_skills"/>
    <n v="4"/>
    <n v="3"/>
    <n v="4"/>
    <s v="no"/>
    <n v="3"/>
    <s v="no"/>
    <s v=""/>
    <s v=""/>
    <n v="15.6"/>
    <x v="1"/>
    <x v="1"/>
    <s v="Financial skills"/>
    <s v="UNMAPPED"/>
  </r>
  <r>
    <s v="SUB-0162"/>
    <s v="SYN-0162"/>
    <s v="yes"/>
    <s v="1.0.0"/>
    <s v="ROUND_2"/>
    <d v="2025-07-04T00:00:00"/>
    <d v="2025-03-19T00:00:00"/>
    <s v="WEST"/>
    <s v="W01"/>
    <s v="ENUM_04"/>
    <s v="yes"/>
    <s v="25_34"/>
    <s v="woman"/>
    <n v="4"/>
    <s v="no"/>
    <s v="yes"/>
    <d v="2025-04-11T00:00:00"/>
    <s v="leadership"/>
    <n v="4"/>
    <n v="3"/>
    <n v="4"/>
    <s v="yes"/>
    <n v="5"/>
    <s v="yes"/>
    <s v="radio"/>
    <s v="The practical examples made the sessions easier to understand."/>
    <n v="19.899999999999999"/>
    <x v="1"/>
    <x v="0"/>
    <s v="Leadership"/>
    <s v="Radio"/>
  </r>
  <r>
    <s v="SUB-0240"/>
    <s v="SYN-0240"/>
    <s v="yes"/>
    <s v="1.0.0"/>
    <s v="ROUND_2"/>
    <d v="2025-08-16T00:00:00"/>
    <d v="2025-06-28T00:00:00"/>
    <s v="NORTH"/>
    <s v="N03"/>
    <s v="ENUM_01"/>
    <s v="yes"/>
    <s v="45_54"/>
    <s v="woman"/>
    <n v="6"/>
    <s v="no"/>
    <s v="yes"/>
    <d v="2025-08-04T00:00:00"/>
    <s v="leadership"/>
    <n v="3"/>
    <n v="3"/>
    <n v="4"/>
    <s v="no"/>
    <n v="4"/>
    <s v="no"/>
    <s v=""/>
    <s v="The facilitator explained the topic clearly and respectfully."/>
    <n v="32.299999999999997"/>
    <x v="0"/>
    <x v="0"/>
    <s v="Leadership"/>
    <s v="UNMAPPED"/>
  </r>
  <r>
    <s v="SUB-0344"/>
    <s v="SYN-0344"/>
    <s v="yes"/>
    <s v="1.0.0"/>
    <s v="ROUND_1"/>
    <d v="2025-09-20T00:00:00"/>
    <d v="2025-06-11T00:00:00"/>
    <s v="WEST"/>
    <s v="W03"/>
    <s v="ENUM_01"/>
    <s v="yes"/>
    <s v="35_44"/>
    <s v="man"/>
    <n v="7"/>
    <s v="no"/>
    <s v="yes"/>
    <d v="2025-07-07T00:00:00"/>
    <s v="planning"/>
    <n v="5"/>
    <n v="4"/>
    <n v="5"/>
    <s v="yes"/>
    <n v="2"/>
    <s v="no"/>
    <s v=""/>
    <s v="I would like more examples about budgeting and record keeping."/>
    <n v="20.3"/>
    <x v="1"/>
    <x v="1"/>
    <s v="Planning"/>
    <s v="UNMAPPED"/>
  </r>
  <r>
    <s v="SUB-0149"/>
    <s v="SYN-0149"/>
    <s v="yes"/>
    <s v="1.0.0"/>
    <s v="ROUND_2"/>
    <d v="2025-08-25T00:00:00"/>
    <d v="2025-04-16T00:00:00"/>
    <s v="EAST"/>
    <s v="E01"/>
    <s v="ENUM_03"/>
    <s v="yes"/>
    <s v="25_34"/>
    <s v="man"/>
    <n v="6"/>
    <s v="no"/>
    <s v="yes"/>
    <d v="2025-08-03T00:00:00"/>
    <s v="digital_skills"/>
    <n v="4"/>
    <n v="4"/>
    <n v="5"/>
    <s v="no"/>
    <n v="3"/>
    <s v="no"/>
    <s v=""/>
    <s v=""/>
    <n v="20.9"/>
    <x v="2"/>
    <x v="0"/>
    <s v="Digital skills"/>
    <s v="UNMAPPED"/>
  </r>
  <r>
    <s v="SUB-0404"/>
    <s v="SYN-0404"/>
    <s v="yes"/>
    <s v="1.0.0"/>
    <s v="ROUND_1"/>
    <d v="2025-04-11T00:00:00"/>
    <d v="2025-01-26T00:00:00"/>
    <s v="WEST"/>
    <s v="W03"/>
    <s v="ENUM_02"/>
    <s v="yes"/>
    <s v="25_34"/>
    <s v="man"/>
    <n v="3"/>
    <s v="no"/>
    <s v="yes"/>
    <d v="2025-04-03T00:00:00"/>
    <s v="leadership"/>
    <n v="5"/>
    <n v="4"/>
    <n v="5"/>
    <s v="yes"/>
    <n v="3"/>
    <s v="no"/>
    <s v=""/>
    <s v=""/>
    <n v="18.899999999999999"/>
    <x v="1"/>
    <x v="1"/>
    <s v="Leadership"/>
    <s v="UNMAPPED"/>
  </r>
  <r>
    <s v="SUB-0407"/>
    <s v="SYN-0407"/>
    <s v="yes"/>
    <s v="1.0.0"/>
    <s v="ROUND_2"/>
    <d v="2025-07-03T00:00:00"/>
    <d v="2025-05-08T00:00:00"/>
    <s v="EAST"/>
    <s v="E02"/>
    <s v="ENUM_05"/>
    <s v="yes"/>
    <s v="25_34"/>
    <s v="woman"/>
    <n v="4"/>
    <s v="no"/>
    <s v="yes"/>
    <d v="2025-06-06T00:00:00"/>
    <s v="digital_skills"/>
    <n v="3"/>
    <n v="4"/>
    <n v="5"/>
    <s v="no"/>
    <n v="2"/>
    <s v="no"/>
    <s v=""/>
    <s v=""/>
    <n v="10.7"/>
    <x v="2"/>
    <x v="0"/>
    <s v="Digital skills"/>
    <s v="UNMAPPED"/>
  </r>
  <r>
    <s v="SUB-0211"/>
    <s v="SYN-0211"/>
    <s v="yes"/>
    <s v="1.0.0"/>
    <s v="ROUND_1"/>
    <d v="2025-07-26T00:00:00"/>
    <d v="2025-05-09T00:00:00"/>
    <s v="WEST"/>
    <s v="W03"/>
    <s v="ENUM_05"/>
    <s v="yes"/>
    <s v="25_34"/>
    <s v="non_binary"/>
    <n v="8"/>
    <s v="no"/>
    <s v="yes"/>
    <d v="2025-06-09T00:00:00"/>
    <s v="financial_skills"/>
    <n v="5"/>
    <n v="3"/>
    <n v="4"/>
    <s v="no"/>
    <n v="1"/>
    <s v="no"/>
    <s v=""/>
    <s v=""/>
    <n v="17.8"/>
    <x v="1"/>
    <x v="1"/>
    <s v="Financial skills"/>
    <s v="UNMAPPED"/>
  </r>
  <r>
    <s v="SUB-0081"/>
    <s v="SYN-0081"/>
    <s v="yes"/>
    <s v="1.0.0"/>
    <s v="ROUND_2"/>
    <d v="2025-08-29T00:00:00"/>
    <d v="2025-06-09T00:00:00"/>
    <s v="WEST"/>
    <s v="W02"/>
    <s v="ENUM_06"/>
    <s v="yes"/>
    <s v="25_34"/>
    <s v="woman"/>
    <n v="7"/>
    <s v="yes"/>
    <s v="yes"/>
    <d v="2025-06-18T00:00:00"/>
    <s v="financial_skills"/>
    <n v="1"/>
    <n v="3"/>
    <n v="3"/>
    <s v="no"/>
    <n v="5"/>
    <s v="no"/>
    <s v=""/>
    <s v=""/>
    <n v="18.100000000000001"/>
    <x v="1"/>
    <x v="0"/>
    <s v="Financial skills"/>
    <s v="UNMAPPED"/>
  </r>
  <r>
    <s v="SUB-0043"/>
    <s v="SYN-0043"/>
    <s v="yes"/>
    <s v="1.0.0"/>
    <s v="ROUND_2"/>
    <d v="2025-04-28T00:00:00"/>
    <d v="2024-12-25T00:00:00"/>
    <s v="EAST"/>
    <s v="E02"/>
    <s v="ENUM_07"/>
    <s v="yes"/>
    <s v="25_34"/>
    <s v="woman"/>
    <n v="3"/>
    <s v="no"/>
    <s v="yes"/>
    <d v="2025-02-27T00:00:00"/>
    <s v="planning"/>
    <n v="4"/>
    <n v="3"/>
    <n v="5"/>
    <s v="no"/>
    <n v="4"/>
    <s v="no"/>
    <s v=""/>
    <s v=""/>
    <n v="21.1"/>
    <x v="2"/>
    <x v="0"/>
    <s v="Planning"/>
    <s v="UNMAPPED"/>
  </r>
  <r>
    <s v="SUB-0199"/>
    <s v="SYN-0199"/>
    <s v="yes"/>
    <s v="1.0.0"/>
    <s v="ROUND_1"/>
    <d v="2025-05-14T00:00:00"/>
    <d v="2025-02-11T00:00:00"/>
    <s v="EAST"/>
    <s v="E02"/>
    <s v="ENUM_04"/>
    <s v="yes"/>
    <s v="35_44"/>
    <s v="woman"/>
    <n v="6"/>
    <s v="no"/>
    <s v="yes"/>
    <d v="2025-02-20T00:00:00"/>
    <s v="leadership"/>
    <n v="4"/>
    <n v="4"/>
    <n v="5"/>
    <s v="no"/>
    <n v="1"/>
    <s v="no"/>
    <s v=""/>
    <s v=""/>
    <n v="28.1"/>
    <x v="2"/>
    <x v="1"/>
    <s v="Leadership"/>
    <s v="UNMAPPED"/>
  </r>
  <r>
    <s v="SUB-0238"/>
    <s v="SYN-0238"/>
    <s v="yes"/>
    <s v="1.0.0"/>
    <s v="ROUND_1"/>
    <d v="2025-06-22T00:00:00"/>
    <d v="2025-02-25T00:00:00"/>
    <s v="EAST"/>
    <s v="E01"/>
    <s v="ENUM_02"/>
    <s v="yes"/>
    <s v="18_24"/>
    <s v="man"/>
    <n v="4"/>
    <s v="no"/>
    <s v="yes"/>
    <d v="2025-02-26T00:00:00"/>
    <s v="financial_skills"/>
    <n v="5"/>
    <n v="1"/>
    <n v="1"/>
    <s v="yes"/>
    <n v="2"/>
    <s v="no"/>
    <s v=""/>
    <s v=""/>
    <n v="13.9"/>
    <x v="2"/>
    <x v="1"/>
    <s v="Financial skills"/>
    <s v="UNMAPPED"/>
  </r>
  <r>
    <s v="SUB-0177"/>
    <s v="SYN-0177"/>
    <s v="yes"/>
    <s v="1.0.0"/>
    <s v="ROUND_1"/>
    <d v="2025-07-19T00:00:00"/>
    <d v="2025-05-26T00:00:00"/>
    <s v="WEST"/>
    <s v="W02"/>
    <s v="ENUM_06"/>
    <s v="yes"/>
    <s v="55_plus"/>
    <s v="man"/>
    <n v="5"/>
    <s v="no"/>
    <s v="no"/>
    <m/>
    <s v=""/>
    <m/>
    <m/>
    <m/>
    <s v=""/>
    <n v="4"/>
    <s v="no"/>
    <s v=""/>
    <s v=""/>
    <n v="27.2"/>
    <x v="1"/>
    <x v="1"/>
    <s v="UNMAPPED"/>
    <s v="UNMAPPED"/>
  </r>
  <r>
    <s v="SUB-0381"/>
    <s v="SYN-0381"/>
    <s v="yes"/>
    <s v="1.0.0"/>
    <s v="ROUND_2"/>
    <d v="2025-09-16T00:00:00"/>
    <d v="2025-05-14T00:00:00"/>
    <s v="SOUTH"/>
    <s v="S01"/>
    <s v="ENUM_04"/>
    <s v="yes"/>
    <s v="25_34"/>
    <s v="man"/>
    <n v="3"/>
    <s v="no"/>
    <s v="no"/>
    <m/>
    <s v=""/>
    <m/>
    <m/>
    <m/>
    <s v=""/>
    <n v="3"/>
    <s v="no"/>
    <s v=""/>
    <s v=""/>
    <n v="14.6"/>
    <x v="4"/>
    <x v="0"/>
    <s v="UNMAPPED"/>
    <s v="UNMAPPED"/>
  </r>
  <r>
    <s v="SUB-0318"/>
    <s v="SYN-0318"/>
    <s v="yes"/>
    <s v="1.0.0"/>
    <s v="ROUND_1"/>
    <d v="2025-04-10T00:00:00"/>
    <d v="2025-01-28T00:00:00"/>
    <s v="NORTH"/>
    <s v="N02"/>
    <s v="ENUM_07"/>
    <s v="yes"/>
    <s v="25_34"/>
    <s v="man"/>
    <n v="3"/>
    <s v="no"/>
    <s v="yes"/>
    <d v="2025-04-05T00:00:00"/>
    <s v="digital_skills"/>
    <n v="3"/>
    <n v="3"/>
    <n v="5"/>
    <s v="no"/>
    <n v="4"/>
    <s v="no"/>
    <s v=""/>
    <s v="The session was useful, but the timing conflicted with other responsibilities."/>
    <n v="21.7"/>
    <x v="0"/>
    <x v="1"/>
    <s v="Digital skills"/>
    <s v="UNMAPPED"/>
  </r>
  <r>
    <s v="SUB-0107"/>
    <s v="SYN-0107"/>
    <s v="yes"/>
    <s v="1.0.0"/>
    <s v="ROUND_2"/>
    <d v="2025-05-16T00:00:00"/>
    <d v="2025-03-29T00:00:00"/>
    <s v="EAST"/>
    <s v="E01"/>
    <s v="ENUM_06"/>
    <s v="yes"/>
    <s v="55_plus"/>
    <s v="woman"/>
    <n v="5"/>
    <s v="yes"/>
    <s v="yes"/>
    <d v="2025-03-30T00:00:00"/>
    <s v="digital_skills"/>
    <n v="4"/>
    <n v="3"/>
    <n v="3"/>
    <s v="yes"/>
    <n v="4"/>
    <s v="no"/>
    <s v=""/>
    <s v=""/>
    <n v="13.7"/>
    <x v="2"/>
    <x v="0"/>
    <s v="Digital skills"/>
    <s v="UNMAPPED"/>
  </r>
  <r>
    <s v="SUB-0263"/>
    <s v="SYN-0263"/>
    <s v="yes"/>
    <s v="1.0.0"/>
    <s v="ROUND_1"/>
    <d v="2025-04-16T00:00:00"/>
    <d v="2024-12-14T00:00:00"/>
    <s v="NORTH"/>
    <s v="N03"/>
    <s v="ENUM_04"/>
    <s v="yes"/>
    <s v="35_44"/>
    <s v="woman"/>
    <n v="5"/>
    <s v="no"/>
    <s v="yes"/>
    <d v="2025-02-11T00:00:00"/>
    <s v="financial_skills"/>
    <n v="4"/>
    <n v="3"/>
    <n v="5"/>
    <s v="yes"/>
    <n v="3"/>
    <s v="no"/>
    <s v=""/>
    <s v=""/>
    <n v="10"/>
    <x v="0"/>
    <x v="1"/>
    <s v="Financial skills"/>
    <s v="UNMAPPED"/>
  </r>
  <r>
    <s v="SUB-0016"/>
    <s v="SYN-0016"/>
    <s v="yes"/>
    <s v="1.0.0"/>
    <s v="ROUND_1"/>
    <d v="2025-06-26T00:00:00"/>
    <d v="2025-05-03T00:00:00"/>
    <s v="WEST"/>
    <s v="W01"/>
    <s v="ENUM_08"/>
    <s v="yes"/>
    <s v="55_plus"/>
    <s v="woman"/>
    <n v="6"/>
    <s v="no"/>
    <s v="yes"/>
    <d v="2025-06-06T00:00:00"/>
    <s v="planning"/>
    <n v="3"/>
    <n v="4"/>
    <n v="5"/>
    <s v="yes"/>
    <n v="5"/>
    <s v="no"/>
    <s v=""/>
    <s v=""/>
    <n v="23"/>
    <x v="1"/>
    <x v="1"/>
    <s v="Planning"/>
    <s v="UNMAPPED"/>
  </r>
  <r>
    <s v="SUB-0127"/>
    <s v="SYN-0127"/>
    <s v="yes"/>
    <s v="1.0.0"/>
    <s v="ROUND_2"/>
    <d v="2025-04-14T00:00:00"/>
    <d v="2024-12-14T00:00:00"/>
    <s v="NORTH"/>
    <s v="N03"/>
    <s v="ENUM_03"/>
    <s v="yes"/>
    <s v="25_34"/>
    <s v="man"/>
    <n v="5"/>
    <s v="no"/>
    <s v="yes"/>
    <d v="2025-02-20T00:00:00"/>
    <s v="financial_skills"/>
    <n v="4"/>
    <n v="3"/>
    <n v="3"/>
    <s v="yes"/>
    <n v="3"/>
    <s v="yes"/>
    <s v="printed_material"/>
    <s v=""/>
    <n v="10.8"/>
    <x v="0"/>
    <x v="0"/>
    <s v="Financial skills"/>
    <s v="Printed material"/>
  </r>
  <r>
    <s v="SUB-0305"/>
    <s v="SYN-0305"/>
    <s v="yes"/>
    <s v="1.0.0"/>
    <s v="ROUND_1"/>
    <d v="2025-08-16T00:00:00"/>
    <d v="2025-07-14T00:00:00"/>
    <s v="WEST"/>
    <s v="W02"/>
    <s v="ENUM_04"/>
    <s v="yes"/>
    <s v="18_24"/>
    <s v="man"/>
    <n v="4"/>
    <s v="yes"/>
    <s v="yes"/>
    <d v="2025-07-22T00:00:00"/>
    <s v="planning"/>
    <n v="3"/>
    <n v="1"/>
    <n v="3"/>
    <s v="no"/>
    <n v="5"/>
    <s v="yes"/>
    <s v="radio"/>
    <s v=""/>
    <n v="6.3"/>
    <x v="1"/>
    <x v="1"/>
    <s v="Planning"/>
    <s v="Radio"/>
  </r>
  <r>
    <s v="SUB-0351"/>
    <s v="SYN-0351"/>
    <s v="yes"/>
    <s v="1.0.0"/>
    <s v="ROUND_2"/>
    <d v="2025-08-28T00:00:00"/>
    <d v="2025-07-03T00:00:00"/>
    <s v="WEST"/>
    <s v="W01"/>
    <s v="ENUM_08"/>
    <s v="yes"/>
    <s v="25_34"/>
    <s v="man"/>
    <n v="7"/>
    <s v="no"/>
    <s v="yes"/>
    <d v="2025-08-09T00:00:00"/>
    <s v="leadership"/>
    <n v="5"/>
    <n v="2"/>
    <n v="4"/>
    <s v="yes"/>
    <n v="4"/>
    <s v="no"/>
    <s v=""/>
    <s v="Travel to the meeting location was difficult during bad weather."/>
    <n v="31.8"/>
    <x v="1"/>
    <x v="0"/>
    <s v="Leadership"/>
    <s v="UNMAPPED"/>
  </r>
  <r>
    <s v="SUB-0115"/>
    <s v="SYN-0115"/>
    <s v="yes"/>
    <s v="1.0.0"/>
    <s v="ROUND_1"/>
    <d v="2025-07-23T00:00:00"/>
    <d v="2025-03-28T00:00:00"/>
    <s v="WEST"/>
    <s v="W01"/>
    <s v="ENUM_06"/>
    <s v="yes"/>
    <s v="35_44"/>
    <s v="man"/>
    <n v="2"/>
    <s v="no"/>
    <s v="yes"/>
    <d v="2025-04-25T00:00:00"/>
    <s v="financial_skills"/>
    <n v="4"/>
    <n v="3"/>
    <n v="5"/>
    <s v="yes"/>
    <n v="4"/>
    <s v="no"/>
    <s v=""/>
    <s v=""/>
    <n v="21.9"/>
    <x v="1"/>
    <x v="1"/>
    <s v="Financial skills"/>
    <s v="UNMAPPED"/>
  </r>
  <r>
    <s v="SUB-0045"/>
    <s v="SYN-0045"/>
    <s v="yes"/>
    <s v="1.0.0"/>
    <s v="ROUND_2"/>
    <d v="2025-08-20T00:00:00"/>
    <d v="2025-07-07T00:00:00"/>
    <s v="NORTH"/>
    <s v="N03"/>
    <s v="ENUM_07"/>
    <s v="yes"/>
    <s v="18_24"/>
    <s v="man"/>
    <n v="9"/>
    <s v="no"/>
    <s v="yes"/>
    <d v="2025-08-06T00:00:00"/>
    <s v="digital_skills"/>
    <n v="4"/>
    <n v="1"/>
    <n v="1"/>
    <s v="yes"/>
    <n v="3"/>
    <s v="yes"/>
    <s v="radio"/>
    <s v=""/>
    <n v="19.399999999999999"/>
    <x v="0"/>
    <x v="0"/>
    <s v="Digital skills"/>
    <s v="Radio"/>
  </r>
  <r>
    <s v="SUB-0313"/>
    <s v="SYN-0313"/>
    <s v="yes"/>
    <s v="1.0.0"/>
    <s v="ROUND_1"/>
    <d v="2025-09-01T00:00:00"/>
    <d v="2025-04-27T00:00:00"/>
    <s v="EAST"/>
    <s v="E01"/>
    <s v="ENUM_03"/>
    <s v="yes"/>
    <s v="18_24"/>
    <s v="man"/>
    <n v="7"/>
    <s v="no"/>
    <s v="yes"/>
    <d v="2025-06-23T00:00:00"/>
    <s v="financial_skills"/>
    <n v="4"/>
    <n v="4"/>
    <n v="4"/>
    <s v="yes"/>
    <n v="5"/>
    <s v="no"/>
    <s v=""/>
    <s v=""/>
    <n v="11.1"/>
    <x v="2"/>
    <x v="1"/>
    <s v="Financial skills"/>
    <s v="UNMAPPED"/>
  </r>
  <r>
    <s v="SUB-0332"/>
    <s v="SYN-0332"/>
    <s v="yes"/>
    <s v="1.0.0"/>
    <s v="ROUND_2"/>
    <d v="2025-06-27T00:00:00"/>
    <d v="2025-04-08T00:00:00"/>
    <s v="NORTH"/>
    <s v="N03"/>
    <s v="ENUM_04"/>
    <s v="yes"/>
    <s v="25_34"/>
    <s v="man"/>
    <n v="5"/>
    <s v="no"/>
    <s v="yes"/>
    <d v="2025-05-30T00:00:00"/>
    <s v="digital_skills"/>
    <n v="4"/>
    <n v="2"/>
    <n v="3"/>
    <s v="no"/>
    <n v="3"/>
    <s v="yes"/>
    <s v="printed_material"/>
    <s v="The session was useful, but the timing conflicted with other responsibilities."/>
    <n v="19.600000000000001"/>
    <x v="0"/>
    <x v="0"/>
    <s v="Digital skills"/>
    <s v="Printed material"/>
  </r>
  <r>
    <s v="SUB-0298"/>
    <s v="SYN-0298"/>
    <s v="yes"/>
    <s v="1.0.0"/>
    <s v="ROUND_2"/>
    <d v="2025-08-28T00:00:00"/>
    <d v="2025-07-22T00:00:00"/>
    <s v="NORTH"/>
    <s v="N01"/>
    <s v="ENUM_08"/>
    <s v="yes"/>
    <s v=""/>
    <s v="woman"/>
    <n v="5"/>
    <s v="no"/>
    <s v="no"/>
    <m/>
    <s v=""/>
    <m/>
    <m/>
    <m/>
    <s v=""/>
    <n v="2"/>
    <s v="no"/>
    <s v=""/>
    <s v=""/>
    <n v="14.3"/>
    <x v="0"/>
    <x v="0"/>
    <s v="UNMAPPED"/>
    <s v="UNMAPPED"/>
  </r>
  <r>
    <s v="SUB-0312"/>
    <s v="SYN-0312"/>
    <s v="yes"/>
    <s v="1.0.0"/>
    <s v="ROUND_2"/>
    <d v="2025-08-28T00:00:00"/>
    <d v="2025-06-25T00:00:00"/>
    <s v="SOUTH"/>
    <s v="S01"/>
    <s v="ENUM_02"/>
    <s v="yes"/>
    <s v="35_44"/>
    <s v="man"/>
    <n v="3"/>
    <s v="no"/>
    <s v="yes"/>
    <d v="2025-07-17T00:00:00"/>
    <s v="planning"/>
    <n v="3"/>
    <n v="3"/>
    <n v="4"/>
    <s v="yes"/>
    <n v="5"/>
    <s v="no"/>
    <s v=""/>
    <s v=""/>
    <n v="19.5"/>
    <x v="4"/>
    <x v="0"/>
    <s v="Planning"/>
    <s v="UNMAPPED"/>
  </r>
  <r>
    <s v="SUB-0044"/>
    <s v="SYN-0044"/>
    <s v="yes"/>
    <s v="1.0.0"/>
    <s v="ROUND_2"/>
    <d v="2025-06-04T00:00:00"/>
    <d v="2025-04-30T00:00:00"/>
    <s v="SOUTH"/>
    <s v="S02"/>
    <s v="ENUM_05"/>
    <s v="yes"/>
    <s v="45_54"/>
    <s v="woman"/>
    <n v="10"/>
    <s v="yes"/>
    <s v="yes"/>
    <d v="2025-05-05T00:00:00"/>
    <s v="financial_skills"/>
    <n v="5"/>
    <n v="4"/>
    <n v="5"/>
    <s v="yes"/>
    <n v="4"/>
    <s v="yes"/>
    <s v="printed_material"/>
    <s v=""/>
    <n v="15.5"/>
    <x v="4"/>
    <x v="0"/>
    <s v="Financial skills"/>
    <s v="Printed material"/>
  </r>
  <r>
    <s v="SUB-0330"/>
    <s v="SYN-0330"/>
    <s v="yes"/>
    <s v="1.0.0"/>
    <s v="ROUND_1"/>
    <d v="2025-04-22T00:00:00"/>
    <d v="2025-01-22T00:00:00"/>
    <s v="EAST"/>
    <s v="E02"/>
    <s v="ENUM_04"/>
    <s v="yes"/>
    <s v="25_34"/>
    <s v="woman"/>
    <n v="5"/>
    <s v="no"/>
    <s v="yes"/>
    <d v="2025-03-07T00:00:00"/>
    <s v="leadership"/>
    <n v="2"/>
    <n v="1"/>
    <n v="2"/>
    <s v="no"/>
    <n v="2"/>
    <s v="no"/>
    <s v=""/>
    <s v=""/>
    <n v="24.1"/>
    <x v="2"/>
    <x v="1"/>
    <s v="Leadership"/>
    <s v="UNMAPPED"/>
  </r>
  <r>
    <s v="SUB-0150"/>
    <s v="SYN-0150"/>
    <s v="yes"/>
    <s v="1.0.0"/>
    <s v="ROUND_2"/>
    <d v="2025-09-12T00:00:00"/>
    <d v="2025-07-13T00:00:00"/>
    <s v="WEST"/>
    <s v="W03"/>
    <s v="ENUM_06"/>
    <s v="yes"/>
    <s v="18_24"/>
    <s v="woman"/>
    <n v="5"/>
    <s v="no"/>
    <s v="no"/>
    <m/>
    <s v=""/>
    <m/>
    <m/>
    <m/>
    <s v=""/>
    <n v="4"/>
    <s v="no"/>
    <s v=""/>
    <s v=""/>
    <n v="19.100000000000001"/>
    <x v="1"/>
    <x v="0"/>
    <s v="UNMAPPED"/>
    <s v="UNMAPPED"/>
  </r>
  <r>
    <s v="SUB-0192"/>
    <s v="SYN-0192"/>
    <s v="yes"/>
    <s v="1.0.0"/>
    <s v="ROUND_2"/>
    <d v="2025-05-31T00:00:00"/>
    <d v="2025-02-13T00:00:00"/>
    <s v="CENTRAL"/>
    <s v="E03"/>
    <s v="ENUM_02"/>
    <s v="yes"/>
    <s v="25_34"/>
    <s v="woman"/>
    <n v="3"/>
    <s v="no"/>
    <s v="yes"/>
    <d v="2025-04-25T00:00:00"/>
    <s v="digital_skills"/>
    <n v="4"/>
    <n v="2"/>
    <n v="4"/>
    <s v="no"/>
    <n v="3"/>
    <s v="no"/>
    <s v=""/>
    <s v=""/>
    <n v="15.9"/>
    <x v="3"/>
    <x v="0"/>
    <s v="Digital skills"/>
    <s v="UNMAPPED"/>
  </r>
  <r>
    <s v="SUB-0091"/>
    <s v="SYN-0091"/>
    <s v="yes"/>
    <s v="1.0.0"/>
    <s v="ROUND_1"/>
    <d v="2025-06-05T00:00:00"/>
    <d v="2025-02-02T00:00:00"/>
    <s v="NORTH"/>
    <s v="N01"/>
    <s v="ENUM_01"/>
    <s v="yes"/>
    <s v="45_54"/>
    <s v="woman"/>
    <n v="8"/>
    <s v="no"/>
    <s v="no"/>
    <m/>
    <s v=""/>
    <m/>
    <m/>
    <m/>
    <s v=""/>
    <n v="4"/>
    <s v="no"/>
    <s v=""/>
    <s v=""/>
    <n v="7.7"/>
    <x v="0"/>
    <x v="1"/>
    <s v="UNMAPPED"/>
    <s v="UNMAPPED"/>
  </r>
  <r>
    <s v="SUB-0079"/>
    <s v="SYN-0079"/>
    <s v="yes"/>
    <s v="1.0.0"/>
    <s v="ROUND_2"/>
    <d v="2025-06-24T00:00:00"/>
    <d v="2025-03-01T00:00:00"/>
    <s v="SOUTH"/>
    <s v="S01"/>
    <s v="ENUM_06"/>
    <s v="yes"/>
    <s v="25_34"/>
    <s v="woman"/>
    <n v="5"/>
    <s v="no"/>
    <s v="no"/>
    <m/>
    <s v=""/>
    <m/>
    <m/>
    <m/>
    <s v=""/>
    <n v="3"/>
    <s v="no"/>
    <s v=""/>
    <s v=""/>
    <n v="11.5"/>
    <x v="4"/>
    <x v="0"/>
    <s v="UNMAPPED"/>
    <s v="UNMAPPED"/>
  </r>
  <r>
    <s v="SUB-0136"/>
    <s v="SYN-0136"/>
    <s v="yes"/>
    <s v="1.0.0"/>
    <s v="ROUND_2"/>
    <d v="2025-07-28T00:00:00"/>
    <d v="2025-05-03T00:00:00"/>
    <s v="SOUTH"/>
    <s v="S02"/>
    <s v="ENUM_05"/>
    <s v="yes"/>
    <s v="55_plus"/>
    <s v="woman"/>
    <n v="8"/>
    <s v="no"/>
    <s v="yes"/>
    <d v="2025-07-25T00:00:00"/>
    <s v="digital_skills"/>
    <n v="5"/>
    <n v="2"/>
    <n v="3"/>
    <s v="no"/>
    <n v="3"/>
    <s v="no"/>
    <s v=""/>
    <s v=""/>
    <n v="11.4"/>
    <x v="4"/>
    <x v="0"/>
    <s v="Digital skills"/>
    <s v="UNMAPPED"/>
  </r>
  <r>
    <s v="SUB-0401"/>
    <s v="SYN-0401"/>
    <s v="yes"/>
    <s v="1.0.0"/>
    <s v="ROUND_1"/>
    <d v="2025-08-06T00:00:00"/>
    <d v="2025-03-16T00:00:00"/>
    <s v="EAST"/>
    <s v="E02"/>
    <s v="ENUM_02"/>
    <s v="yes"/>
    <s v="35_44"/>
    <s v="woman"/>
    <n v="5"/>
    <s v="no"/>
    <s v="yes"/>
    <d v="2025-07-28T00:00:00"/>
    <s v="digital_skills"/>
    <n v="4"/>
    <n v="4"/>
    <n v="4"/>
    <s v="no"/>
    <n v="4"/>
    <s v="no"/>
    <s v=""/>
    <s v=""/>
    <n v="25.7"/>
    <x v="2"/>
    <x v="1"/>
    <s v="Digital skills"/>
    <s v="UNMAPPED"/>
  </r>
  <r>
    <s v="SUB-0161"/>
    <s v="SYN-0161"/>
    <s v="yes"/>
    <s v="1.0.0"/>
    <s v="ROUND_2"/>
    <d v="2025-06-20T00:00:00"/>
    <d v="2025-04-15T00:00:00"/>
    <s v="EAST"/>
    <s v="E02"/>
    <s v="ENUM_08"/>
    <s v="yes"/>
    <s v="45_54"/>
    <s v="woman"/>
    <n v="5"/>
    <s v="no"/>
    <s v="yes"/>
    <d v="2025-04-19T00:00:00"/>
    <s v="digital_skills"/>
    <n v="4"/>
    <n v="4"/>
    <n v="5"/>
    <s v="yes"/>
    <n v="2"/>
    <s v="no"/>
    <s v=""/>
    <s v="More time for questions and practice would improve the training."/>
    <n v="12.4"/>
    <x v="2"/>
    <x v="0"/>
    <s v="Digital skills"/>
    <s v="UNMAPPED"/>
  </r>
  <r>
    <s v="SUB-0261"/>
    <s v="SYN-0261"/>
    <s v="yes"/>
    <s v="1.0.0"/>
    <s v="ROUND_1"/>
    <d v="2025-08-21T00:00:00"/>
    <d v="2025-06-24T00:00:00"/>
    <s v="NORTH"/>
    <s v="N02"/>
    <s v="ENUM_04"/>
    <s v="yes"/>
    <s v="25_34"/>
    <s v="man"/>
    <n v="7"/>
    <s v="no"/>
    <s v="yes"/>
    <d v="2025-08-21T00:00:00"/>
    <s v="leadership"/>
    <n v="4"/>
    <n v="3"/>
    <n v="4"/>
    <s v="no"/>
    <n v="4"/>
    <s v="no"/>
    <s v=""/>
    <s v="I would like more examples about budgeting and record keeping."/>
    <n v="21.3"/>
    <x v="0"/>
    <x v="1"/>
    <s v="Leadership"/>
    <s v="UNMAPPED"/>
  </r>
  <r>
    <s v="SUB-0157"/>
    <s v="SYN-0157"/>
    <s v="yes"/>
    <s v="1.0.0"/>
    <s v="ROUND_2"/>
    <d v="2025-09-02T00:00:00"/>
    <d v="2025-05-31T00:00:00"/>
    <s v="WEST"/>
    <s v="W01"/>
    <s v="ENUM_07"/>
    <s v="yes"/>
    <s v="18_24"/>
    <s v="man"/>
    <n v="3"/>
    <s v="no"/>
    <s v="yes"/>
    <d v="2025-06-21T00:00:00"/>
    <s v="digital_skills"/>
    <n v="5"/>
    <n v="3"/>
    <n v="3"/>
    <s v="yes"/>
    <n v="4"/>
    <s v="no"/>
    <s v=""/>
    <s v=""/>
    <n v="14.4"/>
    <x v="1"/>
    <x v="0"/>
    <s v="Digital skills"/>
    <s v="UNMAPPED"/>
  </r>
  <r>
    <s v="SUB-0239"/>
    <s v="SYN-0239"/>
    <s v="yes"/>
    <s v="1.0.0"/>
    <s v="ROUND_1"/>
    <d v="2025-07-13T00:00:00"/>
    <d v="2025-06-02T00:00:00"/>
    <s v="EAST"/>
    <s v="E02"/>
    <s v="ENUM_06"/>
    <s v="yes"/>
    <s v="18_24"/>
    <s v="man"/>
    <n v="8"/>
    <s v="no"/>
    <s v="yes"/>
    <d v="2025-07-12T00:00:00"/>
    <s v="planning"/>
    <n v="5"/>
    <n v="2"/>
    <n v="2"/>
    <s v="yes"/>
    <n v="4"/>
    <s v="yes"/>
    <s v="radio"/>
    <s v=""/>
    <n v="19.5"/>
    <x v="2"/>
    <x v="1"/>
    <s v="Planning"/>
    <s v="Radio"/>
  </r>
  <r>
    <s v="SUB-0233"/>
    <s v="SYN-0233"/>
    <s v="yes"/>
    <s v="1.0.0"/>
    <s v="ROUND_2"/>
    <d v="2025-07-13T00:00:00"/>
    <d v="2025-03-21T00:00:00"/>
    <s v="NORTH"/>
    <s v="N01"/>
    <s v="ENUM_02"/>
    <s v="yes"/>
    <s v="25_34"/>
    <s v="woman"/>
    <n v="2"/>
    <s v="no"/>
    <s v="yes"/>
    <d v="2024-12-15T00:00:00"/>
    <s v="planning"/>
    <n v="4"/>
    <n v="2"/>
    <n v="4"/>
    <s v="yes"/>
    <n v="1"/>
    <s v="no"/>
    <s v=""/>
    <s v=""/>
    <n v="22.4"/>
    <x v="0"/>
    <x v="0"/>
    <s v="Planning"/>
    <s v="UNMAPPED"/>
  </r>
  <r>
    <s v="SUB-0230"/>
    <s v="SYN-0230"/>
    <s v="yes"/>
    <s v="1.0.0"/>
    <s v="ROUND_2"/>
    <d v="2025-09-27T00:00:00"/>
    <d v="2025-08-05T00:00:00"/>
    <s v="EAST"/>
    <s v="E01"/>
    <s v="ENUM_08"/>
    <s v="yes"/>
    <s v="25_34"/>
    <s v="woman"/>
    <n v="3"/>
    <s v="no"/>
    <s v="yes"/>
    <d v="2025-09-13T00:00:00"/>
    <s v="planning"/>
    <n v="2"/>
    <n v="2"/>
    <n v="3"/>
    <s v="yes"/>
    <n v="4"/>
    <s v="yes"/>
    <s v="community_meeting"/>
    <s v=""/>
    <n v="13.1"/>
    <x v="2"/>
    <x v="0"/>
    <s v="Planning"/>
    <s v="Community meeting"/>
  </r>
  <r>
    <s v="SUB-0256"/>
    <s v="SYN-0256"/>
    <s v="yes"/>
    <s v="1.0.0"/>
    <s v="ROUND_2"/>
    <d v="2025-04-08T00:00:00"/>
    <d v="2024-12-29T00:00:00"/>
    <s v="SOUTH"/>
    <s v="S03"/>
    <s v="ENUM_05"/>
    <s v="yes"/>
    <s v="45_54"/>
    <s v="man"/>
    <n v="7"/>
    <s v="no"/>
    <s v="yes"/>
    <d v="2025-02-16T00:00:00"/>
    <s v="financial_skills"/>
    <n v="4"/>
    <n v="4"/>
    <n v="5"/>
    <s v="yes"/>
    <n v="4"/>
    <s v="no"/>
    <s v=""/>
    <s v=""/>
    <n v="15.2"/>
    <x v="4"/>
    <x v="0"/>
    <s v="Financial skills"/>
    <s v="UNMAPPED"/>
  </r>
  <r>
    <s v="SUB-0096"/>
    <s v="SYN-0096"/>
    <s v="yes"/>
    <s v="1.0.0"/>
    <s v="ROUND_1"/>
    <d v="2025-08-16T00:00:00"/>
    <d v="2025-04-20T00:00:00"/>
    <s v="WEST"/>
    <s v="W03"/>
    <s v="ENUM_04"/>
    <s v="yes"/>
    <s v="25_34"/>
    <s v="man"/>
    <n v="8"/>
    <s v="no"/>
    <s v="yes"/>
    <d v="2025-07-10T00:00:00"/>
    <s v="planning"/>
    <n v="4"/>
    <n v="4"/>
    <n v="4"/>
    <s v="yes"/>
    <n v="5"/>
    <s v="no"/>
    <s v=""/>
    <s v=""/>
    <n v="8.5"/>
    <x v="1"/>
    <x v="1"/>
    <s v="Planning"/>
    <s v="UNMAPPED"/>
  </r>
  <r>
    <s v="SUB-0010"/>
    <s v="SYN-0010"/>
    <s v="yes"/>
    <s v="1.0.0"/>
    <s v="ROUND_2"/>
    <d v="2025-05-09T00:00:00"/>
    <d v="2025-03-04T00:00:00"/>
    <s v="EAST"/>
    <s v="E01"/>
    <s v="ENUM_07"/>
    <s v="yes"/>
    <s v="35_44"/>
    <s v="man"/>
    <n v="11"/>
    <s v="no"/>
    <s v="yes"/>
    <d v="2025-03-17T00:00:00"/>
    <s v="planning"/>
    <n v="4"/>
    <n v="1"/>
    <n v="3"/>
    <s v="yes"/>
    <n v="4"/>
    <s v="no"/>
    <s v=""/>
    <s v=""/>
    <n v="11.7"/>
    <x v="2"/>
    <x v="0"/>
    <s v="Planning"/>
    <s v="UNMAPPED"/>
  </r>
  <r>
    <s v="SUB-0128"/>
    <s v="SYN-0128"/>
    <s v="yes"/>
    <s v="1.0.0"/>
    <s v="ROUND_2"/>
    <d v="2025-06-22T00:00:00"/>
    <d v="2025-05-21T00:00:00"/>
    <s v=""/>
    <s v="W01"/>
    <s v="ENUM_05"/>
    <s v="yes"/>
    <s v="35_44"/>
    <s v="man"/>
    <n v="4"/>
    <s v="no"/>
    <s v="yes"/>
    <d v="2025-05-24T00:00:00"/>
    <s v="leadership"/>
    <n v="4"/>
    <n v="4"/>
    <n v="5"/>
    <s v="yes"/>
    <n v="3"/>
    <s v="no"/>
    <s v=""/>
    <s v=""/>
    <n v="18.3"/>
    <x v="3"/>
    <x v="0"/>
    <s v="Leadership"/>
    <s v="UNMAPPED"/>
  </r>
  <r>
    <s v="SUB-0342"/>
    <s v="SYN-0342"/>
    <s v="yes"/>
    <s v="1.0.0"/>
    <s v="ROUND_1"/>
    <d v="2025-04-28T00:00:00"/>
    <d v="2025-03-08T00:00:00"/>
    <s v="EAST"/>
    <s v="E01"/>
    <s v="ENUM_02"/>
    <s v="yes"/>
    <s v="18_24"/>
    <s v="man"/>
    <n v="5"/>
    <s v="no"/>
    <s v="no"/>
    <m/>
    <s v=""/>
    <m/>
    <m/>
    <m/>
    <s v=""/>
    <n v="5"/>
    <s v="no"/>
    <s v=""/>
    <s v=""/>
    <n v="18.2"/>
    <x v="2"/>
    <x v="1"/>
    <s v="UNMAPPED"/>
    <s v="UNMAPPED"/>
  </r>
  <r>
    <s v="SUB-0297"/>
    <s v="SYN-0297"/>
    <s v="yes"/>
    <s v="1.0.0"/>
    <s v="ROUND_1"/>
    <d v="2025-08-27T00:00:00"/>
    <d v="2025-06-21T00:00:00"/>
    <s v="WEST"/>
    <s v="W03"/>
    <s v="ENUM_01"/>
    <s v="yes"/>
    <s v="35_44"/>
    <s v="man"/>
    <n v="5"/>
    <s v="no"/>
    <s v="yes"/>
    <d v="2025-07-19T00:00:00"/>
    <s v="financial_skills"/>
    <n v="5"/>
    <n v="1"/>
    <n v="1"/>
    <s v="yes"/>
    <n v="4"/>
    <s v="yes"/>
    <s v="community_meeting"/>
    <s v="Shorter sessions on more days would be easier to attend."/>
    <n v="12"/>
    <x v="1"/>
    <x v="1"/>
    <s v="Financial skills"/>
    <s v="Community meeting"/>
  </r>
  <r>
    <s v="SUB-0226"/>
    <s v="SYN-0226"/>
    <s v="yes"/>
    <s v="1.0.0"/>
    <s v="ROUND_2"/>
    <d v="2025-07-13T00:00:00"/>
    <d v="2025-05-12T00:00:00"/>
    <s v="NORTH"/>
    <s v="N03"/>
    <s v="ENUM_08"/>
    <s v="yes"/>
    <s v="35_44"/>
    <s v="woman"/>
    <n v="6"/>
    <s v="no"/>
    <s v="yes"/>
    <d v="2025-06-16T00:00:00"/>
    <s v="planning"/>
    <n v="5"/>
    <n v="4"/>
    <n v="5"/>
    <s v="yes"/>
    <n v="3"/>
    <s v="no"/>
    <s v=""/>
    <s v=""/>
    <n v="9.1999999999999993"/>
    <x v="0"/>
    <x v="0"/>
    <s v="Planning"/>
    <s v="UNMAPPED"/>
  </r>
  <r>
    <s v="SUB-0203"/>
    <s v="SYN-0203"/>
    <s v="yes"/>
    <s v="1.0.0"/>
    <s v="ROUND_1"/>
    <d v="2025-06-06T00:00:00"/>
    <d v="2025-04-19T00:00:00"/>
    <s v="EAST"/>
    <s v="E02"/>
    <s v="ENUM_07"/>
    <s v="yes"/>
    <s v="25_34"/>
    <s v="man"/>
    <n v="6"/>
    <s v="no"/>
    <s v="yes"/>
    <d v="2025-05-07T00:00:00"/>
    <s v="leadership"/>
    <n v="3"/>
    <n v="1"/>
    <n v="2"/>
    <s v="yes"/>
    <n v="4"/>
    <s v="no"/>
    <s v=""/>
    <s v=""/>
    <n v="18.100000000000001"/>
    <x v="2"/>
    <x v="1"/>
    <s v="Leadership"/>
    <s v="UNMAPPED"/>
  </r>
  <r>
    <s v="SUB-0071"/>
    <s v="SYN-0071"/>
    <s v="yes"/>
    <s v="1.0.0"/>
    <s v="ROUND_1"/>
    <d v="2025-06-21T00:00:00"/>
    <d v="2025-03-03T00:00:00"/>
    <s v="SOUTH"/>
    <s v="S03"/>
    <s v="ENUM_08"/>
    <s v="yes"/>
    <s v="45_54"/>
    <s v="man"/>
    <n v="4"/>
    <s v="no"/>
    <s v="yes"/>
    <d v="2025-05-25T00:00:00"/>
    <s v="leadership"/>
    <n v="5"/>
    <n v="3"/>
    <n v="4"/>
    <s v="no"/>
    <n v="4"/>
    <s v="no"/>
    <s v=""/>
    <s v=""/>
    <n v="16.100000000000001"/>
    <x v="4"/>
    <x v="1"/>
    <s v="Leadership"/>
    <s v="UNMAPPED"/>
  </r>
  <r>
    <s v="SUB-0243"/>
    <s v="SYN-0243"/>
    <s v="yes"/>
    <s v="1.0.0"/>
    <s v="ROUND_1"/>
    <d v="2025-07-26T00:00:00"/>
    <d v="2025-06-21T00:00:00"/>
    <s v="EAST"/>
    <s v="E01"/>
    <s v="ENUM_02"/>
    <s v="yes"/>
    <s v="55_plus"/>
    <s v="non_binary"/>
    <n v="3"/>
    <s v="no"/>
    <s v="yes"/>
    <d v="2025-07-03T00:00:00"/>
    <s v="planning"/>
    <n v="2"/>
    <n v="4"/>
    <n v="4"/>
    <s v="yes"/>
    <n v="3"/>
    <s v="no"/>
    <s v=""/>
    <s v="The group activities helped me learn from other participants."/>
    <n v="18"/>
    <x v="2"/>
    <x v="1"/>
    <s v="Planning"/>
    <s v="UNMAPPED"/>
  </r>
  <r>
    <s v="SUB-0156"/>
    <s v="SYN-0156"/>
    <s v="yes"/>
    <s v="1.0.0"/>
    <s v="ROUND_2"/>
    <d v="2025-04-29T00:00:00"/>
    <d v="2025-03-25T00:00:00"/>
    <s v="SOUTH"/>
    <s v="S01"/>
    <s v="ENUM_03"/>
    <s v="yes"/>
    <s v="35_44"/>
    <s v="man"/>
    <n v="6"/>
    <s v="no"/>
    <s v="yes"/>
    <d v="2025-04-20T00:00:00"/>
    <s v="financial_skills"/>
    <n v="2"/>
    <n v="3"/>
    <n v="5"/>
    <s v="yes"/>
    <n v="5"/>
    <s v="no"/>
    <s v=""/>
    <s v=""/>
    <n v="13.1"/>
    <x v="4"/>
    <x v="0"/>
    <s v="Financial skills"/>
    <s v="UNMAPPED"/>
  </r>
  <r>
    <s v="SUB-0066"/>
    <s v="SYN-0066"/>
    <s v="yes"/>
    <s v="1.0.0"/>
    <s v="ROUND_1"/>
    <d v="2025-09-15T00:00:00"/>
    <d v="2025-05-27T00:00:00"/>
    <s v="NORTH"/>
    <s v="N02"/>
    <s v="ENUM_08"/>
    <s v="yes"/>
    <s v="35_44"/>
    <s v="woman"/>
    <n v="3"/>
    <s v="no"/>
    <s v="yes"/>
    <d v="2025-07-25T00:00:00"/>
    <s v="leadership"/>
    <n v="4"/>
    <n v="3"/>
    <n v="4"/>
    <s v="no"/>
    <n v="3"/>
    <s v="no"/>
    <s v=""/>
    <s v=""/>
    <n v="21.4"/>
    <x v="0"/>
    <x v="1"/>
    <s v="Leadership"/>
    <s v="UNMAPPED"/>
  </r>
  <r>
    <s v="SUB-0403"/>
    <s v="SYN-0403"/>
    <s v="yes"/>
    <s v="1.0.0"/>
    <s v="ROUND_1"/>
    <d v="2025-05-09T00:00:00"/>
    <d v="2025-03-10T00:00:00"/>
    <s v="SOUTH"/>
    <s v="S03"/>
    <s v="ENUM_04"/>
    <s v="yes"/>
    <s v="25_34"/>
    <s v="man"/>
    <n v="5"/>
    <s v="yes"/>
    <s v="yes"/>
    <d v="2025-03-19T00:00:00"/>
    <s v="leadership"/>
    <n v="4"/>
    <n v="4"/>
    <n v="5"/>
    <s v="yes"/>
    <n v="3"/>
    <s v="yes"/>
    <s v="community_meeting"/>
    <s v="Travel to the meeting location was difficult during bad weather."/>
    <n v="21.5"/>
    <x v="4"/>
    <x v="1"/>
    <s v="Leadership"/>
    <s v="Community meeting"/>
  </r>
  <r>
    <s v="SUB-0049"/>
    <s v="SYN-0049"/>
    <s v="yes"/>
    <s v="1.0.0"/>
    <s v="ROUND_2"/>
    <d v="2025-05-26T00:00:00"/>
    <d v="2025-03-10T00:00:00"/>
    <s v="NORTH"/>
    <s v="N02"/>
    <s v="ENUM_04"/>
    <s v="yes"/>
    <s v="25_34"/>
    <s v="man"/>
    <n v="5"/>
    <s v="no"/>
    <s v="no"/>
    <m/>
    <s v=""/>
    <m/>
    <m/>
    <m/>
    <s v=""/>
    <n v="4"/>
    <s v="no"/>
    <s v=""/>
    <s v=""/>
    <n v="20.2"/>
    <x v="0"/>
    <x v="0"/>
    <s v="UNMAPPED"/>
    <s v="UNMAPPED"/>
  </r>
  <r>
    <s v="SUB-0275"/>
    <s v="SYN-0275"/>
    <s v="yes"/>
    <s v="1.0.0"/>
    <s v="ROUND_2"/>
    <d v="2025-05-06T00:00:00"/>
    <d v="2025-03-22T00:00:00"/>
    <s v="EAST"/>
    <s v="E03"/>
    <s v="ENUM_01"/>
    <s v="yes"/>
    <s v="25_34"/>
    <s v="woman"/>
    <n v="3"/>
    <s v="no"/>
    <s v="no"/>
    <m/>
    <s v=""/>
    <m/>
    <m/>
    <m/>
    <s v=""/>
    <n v="3"/>
    <s v="no"/>
    <s v=""/>
    <s v=""/>
    <n v="14"/>
    <x v="2"/>
    <x v="0"/>
    <s v="UNMAPPED"/>
    <s v="UNMAPPED"/>
  </r>
  <r>
    <s v="SUB-0251"/>
    <s v="SYN-0251"/>
    <s v="yes"/>
    <s v="1.0.0"/>
    <s v="ROUND_1"/>
    <d v="2025-06-18T00:00:00"/>
    <d v="2025-04-03T00:00:00"/>
    <s v="NORTH"/>
    <s v="N01"/>
    <s v="ENUM_06"/>
    <s v="yes"/>
    <s v="35_44"/>
    <s v="man"/>
    <n v="5"/>
    <s v="no"/>
    <s v="yes"/>
    <d v="2025-06-08T00:00:00"/>
    <s v="planning"/>
    <n v="4"/>
    <n v="2"/>
    <n v="3"/>
    <s v="yes"/>
    <n v="1"/>
    <s v="yes"/>
    <s v="community_meeting"/>
    <s v=""/>
    <n v="19.399999999999999"/>
    <x v="0"/>
    <x v="1"/>
    <s v="Planning"/>
    <s v="Community meeting"/>
  </r>
  <r>
    <s v="SUB-0086"/>
    <s v="SYN-0086"/>
    <s v="yes"/>
    <s v="1.0.0"/>
    <s v="ROUND_2"/>
    <d v="2025-08-08T00:00:00"/>
    <d v="2025-03-15T00:00:00"/>
    <s v="WEST"/>
    <s v="W01"/>
    <s v="ENUM_06"/>
    <s v="yes"/>
    <s v="18_24"/>
    <s v="man"/>
    <n v="6"/>
    <s v="no"/>
    <s v="yes"/>
    <d v="2025-03-25T00:00:00"/>
    <s v="financial_skills"/>
    <n v="5"/>
    <n v="1"/>
    <n v="3"/>
    <s v="no"/>
    <n v="5"/>
    <s v="yes"/>
    <s v="radio"/>
    <s v=""/>
    <n v="21.5"/>
    <x v="1"/>
    <x v="0"/>
    <s v="Financial skills"/>
    <s v="Radio"/>
  </r>
  <r>
    <s v="SUB-0138"/>
    <s v="SYN-0138"/>
    <s v="yes"/>
    <s v="1.0.0"/>
    <s v="ROUND_1"/>
    <d v="2025-05-05T00:00:00"/>
    <d v="2024-12-28T00:00:00"/>
    <s v="NORTH"/>
    <s v="N03"/>
    <s v="ENUM_01"/>
    <s v="yes"/>
    <s v="35_44"/>
    <s v="woman"/>
    <n v="5"/>
    <s v="no"/>
    <s v="yes"/>
    <d v="2025-01-13T00:00:00"/>
    <s v="planning"/>
    <n v="5"/>
    <n v="3"/>
    <n v="4"/>
    <s v="yes"/>
    <n v="4"/>
    <s v="no"/>
    <s v=""/>
    <s v=""/>
    <n v="20.7"/>
    <x v="0"/>
    <x v="1"/>
    <s v="Planning"/>
    <s v="UNMAPPED"/>
  </r>
  <r>
    <s v="SUB-0080"/>
    <s v="SYN-0080"/>
    <s v="yes"/>
    <s v="1.0.0"/>
    <s v="ROUND_1"/>
    <d v="2025-08-17T00:00:00"/>
    <d v="2025-04-17T00:00:00"/>
    <s v="WEST"/>
    <s v="W03"/>
    <s v="ENUM_08"/>
    <s v="yes"/>
    <s v="18_24"/>
    <s v="man"/>
    <n v="5"/>
    <s v="no"/>
    <s v="yes"/>
    <d v="2025-07-29T00:00:00"/>
    <s v="digital_skills"/>
    <n v="2"/>
    <n v="1"/>
    <n v="2"/>
    <s v="yes"/>
    <n v="4"/>
    <s v="no"/>
    <s v=""/>
    <s v=""/>
    <n v="30.4"/>
    <x v="1"/>
    <x v="1"/>
    <s v="Digital skills"/>
    <s v="UNMAPPED"/>
  </r>
  <r>
    <s v="SUB-0123"/>
    <s v="SYN-0123"/>
    <s v="yes"/>
    <s v="1.0.0"/>
    <s v="ROUND_2"/>
    <d v="2025-05-04T00:00:00"/>
    <d v="2025-02-16T00:00:00"/>
    <s v="WEST"/>
    <s v="W01"/>
    <s v="ENUM_02"/>
    <s v="yes"/>
    <s v="45_54"/>
    <s v="man"/>
    <n v="4"/>
    <s v="no"/>
    <s v="no"/>
    <m/>
    <s v=""/>
    <m/>
    <m/>
    <m/>
    <s v=""/>
    <n v="5"/>
    <s v="no"/>
    <s v=""/>
    <s v=""/>
    <n v="18.899999999999999"/>
    <x v="1"/>
    <x v="0"/>
    <s v="UNMAPPED"/>
    <s v="UNMAPPED"/>
  </r>
  <r>
    <s v="SUB-0220"/>
    <s v="SYN-0220"/>
    <s v="yes"/>
    <s v="1.0.0"/>
    <s v="ROUND_2"/>
    <d v="2025-07-08T00:00:00"/>
    <d v="2025-02-23T00:00:00"/>
    <s v="EAST"/>
    <s v="E01"/>
    <s v="ENUM_01"/>
    <s v="yes"/>
    <s v="25_34"/>
    <s v="man"/>
    <n v="4"/>
    <s v="no"/>
    <s v="yes"/>
    <d v="2025-04-11T00:00:00"/>
    <s v="financial_skills"/>
    <n v="4"/>
    <n v="1"/>
    <n v="2"/>
    <s v="no"/>
    <n v="3"/>
    <s v="no"/>
    <s v=""/>
    <s v=""/>
    <n v="11.2"/>
    <x v="2"/>
    <x v="0"/>
    <s v="Financial skills"/>
    <s v="UNMAPPED"/>
  </r>
  <r>
    <s v="SUB-0271"/>
    <s v="SYN-0271"/>
    <s v="yes"/>
    <s v="1.0.0"/>
    <s v="ROUND_2"/>
    <d v="2025-06-12T00:00:00"/>
    <d v="2025-04-08T00:00:00"/>
    <s v="EAST"/>
    <s v="E03"/>
    <s v="ENUM_01"/>
    <s v="yes"/>
    <s v="25_34"/>
    <s v="woman"/>
    <n v="8"/>
    <s v="no"/>
    <s v="no"/>
    <m/>
    <s v=""/>
    <m/>
    <m/>
    <m/>
    <s v=""/>
    <n v="4"/>
    <s v="no"/>
    <s v=""/>
    <s v=""/>
    <n v="23.5"/>
    <x v="2"/>
    <x v="0"/>
    <s v="UNMAPPED"/>
    <s v="UNMAPPED"/>
  </r>
  <r>
    <s v="SUB-0391"/>
    <s v="SYN-0391"/>
    <s v="yes"/>
    <s v="1.0.0"/>
    <s v="ROUND_2"/>
    <d v="2025-05-19T00:00:00"/>
    <d v="2025-01-05T00:00:00"/>
    <s v="SOUTH"/>
    <s v="S01"/>
    <s v="ENUM_07"/>
    <s v="yes"/>
    <s v="35_44"/>
    <s v="woman"/>
    <n v="4"/>
    <s v="no"/>
    <s v="yes"/>
    <d v="2025-04-10T00:00:00"/>
    <s v="planning"/>
    <n v="3"/>
    <n v="4"/>
    <n v="5"/>
    <s v="yes"/>
    <n v="4"/>
    <s v="no"/>
    <s v=""/>
    <s v=""/>
    <n v="23.9"/>
    <x v="4"/>
    <x v="0"/>
    <s v="Planning"/>
    <s v="UNMAPPED"/>
  </r>
  <r>
    <s v="SUB-DUP-009"/>
    <s v="SYN-0398"/>
    <s v="yes"/>
    <s v="1.0.0"/>
    <s v="ROUND_2"/>
    <d v="2025-07-16T00:00:00"/>
    <d v="2025-05-25T00:00:00"/>
    <s v="SOUTH"/>
    <s v="S01"/>
    <s v="ENUM_07"/>
    <s v="yes"/>
    <s v="35_44"/>
    <s v="man"/>
    <n v="4"/>
    <s v="no"/>
    <s v="yes"/>
    <d v="2025-05-30T00:00:00"/>
    <s v="financial_skills"/>
    <n v="4"/>
    <n v="2"/>
    <n v="3"/>
    <s v="yes"/>
    <n v="1"/>
    <s v="no"/>
    <s v=""/>
    <s v="The facilitator explained the topic clearly and respectfully."/>
    <n v="19.899999999999999"/>
    <x v="4"/>
    <x v="0"/>
    <s v="Financial skills"/>
    <s v="UNMAPPED"/>
  </r>
  <r>
    <s v="SUB-0326"/>
    <s v="SYN-0326"/>
    <s v="yes"/>
    <s v="1.0.0"/>
    <s v="ROUND_1"/>
    <d v="2025-04-06T00:00:00"/>
    <d v="2025-02-10T00:00:00"/>
    <s v="EAST"/>
    <s v="E01"/>
    <s v="ENUM_08"/>
    <s v="yes"/>
    <s v="18_24"/>
    <s v="man"/>
    <n v="3"/>
    <s v="no"/>
    <s v="no"/>
    <m/>
    <s v=""/>
    <m/>
    <m/>
    <m/>
    <s v=""/>
    <n v="3"/>
    <s v="no"/>
    <s v=""/>
    <s v=""/>
    <n v="29.9"/>
    <x v="2"/>
    <x v="1"/>
    <s v="UNMAPPED"/>
    <s v="UNMAPPED"/>
  </r>
  <r>
    <s v="SUB-0099"/>
    <s v="SYN-0099"/>
    <s v="yes"/>
    <s v="1.0.0"/>
    <s v="ROUND_2"/>
    <d v="2025-06-05T00:00:00"/>
    <d v="2025-03-03T00:00:00"/>
    <s v="EAST"/>
    <s v="E02"/>
    <s v="ENUM_04"/>
    <s v="yes"/>
    <s v="25_34"/>
    <s v="woman"/>
    <n v="5"/>
    <s v="no"/>
    <s v="yes"/>
    <d v="2025-05-03T00:00:00"/>
    <s v="digital_skills"/>
    <n v="5"/>
    <n v="1"/>
    <n v="1"/>
    <s v="yes"/>
    <n v="4"/>
    <s v="yes"/>
    <s v="printed_material"/>
    <s v="Printed materials would help people who cannot attend every session."/>
    <n v="11.6"/>
    <x v="2"/>
    <x v="0"/>
    <s v="Digital skills"/>
    <s v="Printed material"/>
  </r>
  <r>
    <s v="SUB-0231"/>
    <s v="SYN-0231"/>
    <s v="yes"/>
    <s v="1.0.0"/>
    <s v="ROUND_2"/>
    <d v="2025-07-08T00:00:00"/>
    <d v="2025-03-28T00:00:00"/>
    <s v="NORTH"/>
    <s v="N03"/>
    <s v="ENUM_07"/>
    <s v="yes"/>
    <s v="18_24"/>
    <s v="woman"/>
    <n v="5"/>
    <s v="no"/>
    <s v="no"/>
    <m/>
    <s v=""/>
    <m/>
    <m/>
    <m/>
    <s v=""/>
    <n v="4"/>
    <s v="no"/>
    <s v=""/>
    <s v=""/>
    <n v="19.2"/>
    <x v="0"/>
    <x v="0"/>
    <s v="UNMAPPED"/>
    <s v="UNMAPPED"/>
  </r>
  <r>
    <s v="SUB-0212"/>
    <s v="SYN-0212"/>
    <s v="yes"/>
    <s v="1.0.0"/>
    <s v="ROUND_2"/>
    <d v="2025-08-30T00:00:00"/>
    <d v="2025-04-15T00:00:00"/>
    <s v="WEST"/>
    <s v="W01"/>
    <s v="ENUM_07"/>
    <s v="yes"/>
    <s v="18_24"/>
    <s v="woman"/>
    <n v="5"/>
    <s v="no"/>
    <s v="yes"/>
    <d v="2025-07-10T00:00:00"/>
    <s v="leadership"/>
    <n v="5"/>
    <n v="4"/>
    <n v="5"/>
    <s v="yes"/>
    <n v="3"/>
    <s v="no"/>
    <s v=""/>
    <s v=""/>
    <n v="18.100000000000001"/>
    <x v="1"/>
    <x v="0"/>
    <s v="Leadership"/>
    <s v="UNMAPPED"/>
  </r>
  <r>
    <s v="SUB-0180"/>
    <s v="SYN-0180"/>
    <s v="yes"/>
    <s v="1.0.0"/>
    <s v="ROUND_2"/>
    <d v="2025-04-05T00:00:00"/>
    <d v="2024-12-21T00:00:00"/>
    <s v="WEST"/>
    <s v="W02"/>
    <s v="ENUM_01"/>
    <s v="yes"/>
    <s v="18_24"/>
    <s v="woman"/>
    <n v="7"/>
    <s v="no"/>
    <s v="yes"/>
    <d v="2025-03-01T00:00:00"/>
    <s v="financial_skills"/>
    <n v="5"/>
    <n v="1"/>
    <n v="2"/>
    <s v="yes"/>
    <n v="5"/>
    <s v="no"/>
    <s v=""/>
    <s v=""/>
    <n v="19.7"/>
    <x v="1"/>
    <x v="0"/>
    <s v="Financial skills"/>
    <s v="UNMAPPED"/>
  </r>
  <r>
    <s v="SUB-0255"/>
    <s v="SYN-0255"/>
    <s v="yes"/>
    <s v="1.0.0"/>
    <s v="ROUND_1"/>
    <d v="2025-08-13T00:00:00"/>
    <d v="2025-05-08T00:00:00"/>
    <s v="EAST"/>
    <s v="E01"/>
    <s v="ENUM_03"/>
    <s v="yes"/>
    <s v="35_44"/>
    <s v="man"/>
    <n v="6"/>
    <s v="no"/>
    <s v="yes"/>
    <d v="2025-07-23T00:00:00"/>
    <s v="digital_skills"/>
    <n v="3"/>
    <n v="2"/>
    <n v="3"/>
    <s v="no"/>
    <n v="4"/>
    <s v="no"/>
    <s v=""/>
    <s v=""/>
    <n v="14.1"/>
    <x v="2"/>
    <x v="1"/>
    <s v="Digital skills"/>
    <s v="UNMAPPED"/>
  </r>
  <r>
    <s v="SUB-0252"/>
    <s v="SYN-0252"/>
    <s v="yes"/>
    <s v="1.0.0"/>
    <s v="ROUND_1"/>
    <d v="2025-08-27T00:00:00"/>
    <d v="2025-04-04T00:00:00"/>
    <s v="SOUTH"/>
    <s v="S01"/>
    <s v="ENUM_06"/>
    <s v="yes"/>
    <s v="25_34"/>
    <s v="woman"/>
    <n v="6"/>
    <s v="no"/>
    <s v="yes"/>
    <d v="2025-07-28T00:00:00"/>
    <s v="digital_skills"/>
    <n v="4"/>
    <n v="4"/>
    <n v="4"/>
    <s v="no"/>
    <n v="5"/>
    <s v="no"/>
    <s v=""/>
    <s v=""/>
    <n v="10.1"/>
    <x v="4"/>
    <x v="1"/>
    <s v="Digital skills"/>
    <s v="UNMAPPED"/>
  </r>
  <r>
    <s v="SUB-0236"/>
    <s v="SYN-0236"/>
    <s v="yes"/>
    <s v="1.0.0"/>
    <s v="ROUND_2"/>
    <d v="2025-08-04T00:00:00"/>
    <d v="2025-06-08T00:00:00"/>
    <s v="NORTH"/>
    <s v="N01"/>
    <s v="ENUM_01"/>
    <s v="yes"/>
    <s v="45_54"/>
    <s v="woman"/>
    <n v="4"/>
    <s v="no"/>
    <s v="no"/>
    <m/>
    <s v=""/>
    <m/>
    <m/>
    <m/>
    <s v=""/>
    <n v="4"/>
    <s v="no"/>
    <s v=""/>
    <s v=""/>
    <n v="7.1"/>
    <x v="0"/>
    <x v="0"/>
    <s v="UNMAPPED"/>
    <s v="UNMAPPED"/>
  </r>
  <r>
    <s v="SUB-0345"/>
    <s v="SYN-0345"/>
    <s v="yes"/>
    <s v="1.0.0"/>
    <s v="ROUND_1"/>
    <d v="2025-08-05T00:00:00"/>
    <d v="2025-04-20T00:00:00"/>
    <s v="WEST"/>
    <s v="W01"/>
    <s v="ENUM_01"/>
    <s v="yes"/>
    <s v="35_44"/>
    <s v="man"/>
    <n v="4"/>
    <s v="yes"/>
    <s v="yes"/>
    <d v="2025-05-04T00:00:00"/>
    <s v="planning"/>
    <n v="4"/>
    <n v="1"/>
    <n v="3"/>
    <s v="yes"/>
    <n v="5"/>
    <s v="no"/>
    <s v=""/>
    <s v=""/>
    <n v="19.100000000000001"/>
    <x v="1"/>
    <x v="1"/>
    <s v="Planning"/>
    <s v="UNMAPPED"/>
  </r>
  <r>
    <s v="SUB-0279"/>
    <s v="SYN-0279"/>
    <s v="yes"/>
    <s v="1.0.0"/>
    <s v="ROUND_2"/>
    <d v="2025-05-11T00:00:00"/>
    <d v="2025-03-12T00:00:00"/>
    <s v="SOUTH"/>
    <s v="S02"/>
    <s v="ENUM_02"/>
    <s v="yes"/>
    <s v="18_24"/>
    <s v="man"/>
    <n v="7"/>
    <s v="no"/>
    <s v="no"/>
    <m/>
    <s v=""/>
    <m/>
    <m/>
    <m/>
    <s v=""/>
    <n v="5"/>
    <s v="yes"/>
    <s v="community_meeting"/>
    <s v=""/>
    <n v="21.3"/>
    <x v="4"/>
    <x v="0"/>
    <s v="UNMAPPED"/>
    <s v="Community meeting"/>
  </r>
  <r>
    <s v="SUB-0314"/>
    <s v="SYN-0314"/>
    <s v="yes"/>
    <s v="1.0.0"/>
    <s v="ROUND_2"/>
    <d v="2025-06-04T00:00:00"/>
    <d v="2025-01-22T00:00:00"/>
    <s v="EAST"/>
    <s v="E03"/>
    <s v="ENUM_04"/>
    <s v="yes"/>
    <s v="25_34"/>
    <s v="woman"/>
    <n v="4"/>
    <s v="yes"/>
    <s v="yes"/>
    <d v="2025-06-04T00:00:00"/>
    <s v="digital_skills"/>
    <n v="5"/>
    <n v="2"/>
    <n v="3"/>
    <s v="no"/>
    <n v="2"/>
    <s v="no"/>
    <s v=""/>
    <s v="The facilitator explained the topic clearly and respectfully."/>
    <n v="21.8"/>
    <x v="2"/>
    <x v="0"/>
    <s v="Digital skills"/>
    <s v="UNMAPPED"/>
  </r>
  <r>
    <s v="SUB-0006"/>
    <s v="SYN-0006"/>
    <s v="yes"/>
    <s v="1.0.0"/>
    <s v="ROUND_2"/>
    <d v="2025-08-22T00:00:00"/>
    <d v="2025-05-07T00:00:00"/>
    <s v="SOUTH"/>
    <s v="S03"/>
    <s v="ENUM_04"/>
    <s v="yes"/>
    <s v="18_24"/>
    <s v="man"/>
    <n v="2"/>
    <s v="no"/>
    <s v="yes"/>
    <d v="2025-05-10T00:00:00"/>
    <s v="planning"/>
    <n v="2"/>
    <n v="3"/>
    <n v="4"/>
    <s v="no"/>
    <n v="2"/>
    <s v="no"/>
    <s v=""/>
    <s v="More time for questions and practice would improve the training."/>
    <n v="19.399999999999999"/>
    <x v="4"/>
    <x v="0"/>
    <s v="Planning"/>
    <s v="UNMAPPED"/>
  </r>
  <r>
    <s v="SUB-0122"/>
    <s v="SYN-0122"/>
    <s v="yes"/>
    <s v="1.0.0"/>
    <s v=""/>
    <m/>
    <m/>
    <s v=""/>
    <s v=""/>
    <s v=""/>
    <s v="no"/>
    <s v=""/>
    <s v=""/>
    <m/>
    <s v=""/>
    <s v=""/>
    <m/>
    <s v=""/>
    <m/>
    <m/>
    <m/>
    <s v=""/>
    <m/>
    <s v=""/>
    <s v=""/>
    <s v=""/>
    <m/>
    <x v="3"/>
    <x v="2"/>
    <s v="UNMAPPED"/>
    <s v="UNMAPPED"/>
  </r>
  <r>
    <s v="SUB-DUP-003"/>
    <s v="SYN-0246"/>
    <s v="yes"/>
    <s v="1.0.0"/>
    <s v="ROUND_2"/>
    <d v="2025-06-13T00:00:00"/>
    <d v="2025-02-04T00:00:00"/>
    <s v="SOUTH"/>
    <s v="S03"/>
    <s v="ENUM_04"/>
    <s v="yes"/>
    <s v="18_24"/>
    <s v="man"/>
    <n v="1"/>
    <s v="no"/>
    <s v="yes"/>
    <d v="2025-04-21T00:00:00"/>
    <s v="digital_skills"/>
    <n v="4"/>
    <n v="3"/>
    <n v="4"/>
    <s v="yes"/>
    <n v="5"/>
    <s v="no"/>
    <s v=""/>
    <s v=""/>
    <n v="14.4"/>
    <x v="4"/>
    <x v="0"/>
    <s v="Digital skills"/>
    <s v="UNMAPPED"/>
  </r>
  <r>
    <s v="SUB-0083"/>
    <s v="SYN-0083"/>
    <s v="yes"/>
    <s v="1.0.0"/>
    <s v="ROUND_1"/>
    <d v="2025-06-23T00:00:00"/>
    <d v="2025-03-22T00:00:00"/>
    <s v="WEST"/>
    <s v="W01"/>
    <s v="ENUM_01"/>
    <s v="yes"/>
    <s v="25_34"/>
    <s v="woman"/>
    <n v="6"/>
    <s v="no"/>
    <s v="yes"/>
    <d v="2025-06-17T00:00:00"/>
    <s v="digital_skills"/>
    <n v="3"/>
    <n v="2"/>
    <n v="3"/>
    <s v="yes"/>
    <n v="5"/>
    <s v="no"/>
    <s v=""/>
    <s v=""/>
    <n v="20.7"/>
    <x v="1"/>
    <x v="1"/>
    <s v="Digital skills"/>
    <s v="UNMAPPED"/>
  </r>
  <r>
    <s v="SUB-0386"/>
    <s v="SYN-0386"/>
    <s v="yes"/>
    <s v="1.0.0"/>
    <s v="ROUND_1"/>
    <d v="2025-05-10T00:00:00"/>
    <d v="2025-02-14T00:00:00"/>
    <s v="WEST"/>
    <s v="W03"/>
    <s v="ENUM_08"/>
    <s v="yes"/>
    <s v="35_44"/>
    <s v="woman"/>
    <n v="3"/>
    <s v="no"/>
    <s v="yes"/>
    <d v="2025-03-28T00:00:00"/>
    <s v="financial_skills"/>
    <n v="4"/>
    <n v="3"/>
    <n v="3"/>
    <s v="yes"/>
    <n v="3"/>
    <s v="no"/>
    <s v=""/>
    <s v=""/>
    <n v="19.5"/>
    <x v="1"/>
    <x v="1"/>
    <s v="Financial skills"/>
    <s v="UNMAPPED"/>
  </r>
  <r>
    <s v="SUB-DUP-004"/>
    <s v="SYN-0056"/>
    <s v="yes"/>
    <s v="1.0.0"/>
    <s v="ROUND_2"/>
    <d v="2025-05-07T00:00:00"/>
    <d v="2025-03-17T00:00:00"/>
    <s v="SOUTH"/>
    <s v="S03"/>
    <s v="ENUM_05"/>
    <s v="yes"/>
    <s v="25_34"/>
    <s v="man"/>
    <n v="6"/>
    <s v="no"/>
    <s v="no"/>
    <m/>
    <s v=""/>
    <m/>
    <m/>
    <m/>
    <s v=""/>
    <n v="5"/>
    <s v="no"/>
    <s v=""/>
    <s v=""/>
    <n v="24"/>
    <x v="4"/>
    <x v="0"/>
    <s v="UNMAPPED"/>
    <s v="UNMAPPED"/>
  </r>
  <r>
    <s v="SUB-0336"/>
    <s v="SYN-0336"/>
    <s v="yes"/>
    <s v="1.0.0"/>
    <s v="ROUND_1"/>
    <d v="2025-09-19T00:00:00"/>
    <d v="2025-07-06T00:00:00"/>
    <s v="NORTH"/>
    <s v="N01"/>
    <s v="ENUM_04"/>
    <s v="yes"/>
    <s v="18_24"/>
    <s v="woman"/>
    <n v="3"/>
    <s v="no"/>
    <s v="no"/>
    <m/>
    <s v=""/>
    <m/>
    <m/>
    <m/>
    <s v=""/>
    <n v="4"/>
    <s v="yes"/>
    <s v="radio"/>
    <s v=""/>
    <n v="21"/>
    <x v="0"/>
    <x v="1"/>
    <s v="UNMAPPED"/>
    <s v="Radio"/>
  </r>
  <r>
    <s v="SUB-0018"/>
    <s v="SYN-0018"/>
    <s v="yes"/>
    <s v="1.0.0"/>
    <s v="ROUND_2"/>
    <d v="2025-09-23T00:00:00"/>
    <d v="2025-08-05T00:00:00"/>
    <s v="SOUTH"/>
    <s v="S01"/>
    <s v="ENUM_07"/>
    <s v="yes"/>
    <s v="25_34"/>
    <s v="woman"/>
    <n v="7"/>
    <s v="yes"/>
    <s v="yes"/>
    <d v="2025-09-14T00:00:00"/>
    <s v="financial_skills"/>
    <n v="4"/>
    <n v="3"/>
    <n v="4"/>
    <s v="yes"/>
    <n v="2"/>
    <s v="no"/>
    <s v=""/>
    <s v=""/>
    <n v="8.8000000000000007"/>
    <x v="4"/>
    <x v="0"/>
    <s v="Financial skills"/>
    <s v="UNMAPPED"/>
  </r>
  <r>
    <s v="SUB-0065"/>
    <s v="SYN-0065"/>
    <s v="yes"/>
    <s v="1.0.0"/>
    <s v="ROUND_1"/>
    <d v="2025-05-20T00:00:00"/>
    <d v="2024-12-25T00:00:00"/>
    <s v="NORTH"/>
    <s v="N03"/>
    <s v="ENUM_01"/>
    <s v="yes"/>
    <s v="45_54"/>
    <s v="woman"/>
    <n v="6"/>
    <s v="no"/>
    <s v="yes"/>
    <d v="2025-03-27T00:00:00"/>
    <s v="planning"/>
    <n v="5"/>
    <n v="2"/>
    <n v="4"/>
    <s v="no"/>
    <n v="2"/>
    <s v="yes"/>
    <s v="printed_material"/>
    <s v=""/>
    <n v="13.1"/>
    <x v="0"/>
    <x v="1"/>
    <s v="Planning"/>
    <s v="Printed material"/>
  </r>
  <r>
    <s v="SUB-0225"/>
    <s v="SYN-0225"/>
    <s v="yes"/>
    <s v="1.0.0"/>
    <s v="ROUND_2"/>
    <d v="2025-04-04T00:00:00"/>
    <d v="2024-11-15T00:00:00"/>
    <s v="SOUTH"/>
    <s v="S02"/>
    <s v="ENUM_07"/>
    <s v="yes"/>
    <s v="25_34"/>
    <s v="woman"/>
    <n v="6"/>
    <s v="no"/>
    <s v="no"/>
    <m/>
    <s v=""/>
    <m/>
    <m/>
    <m/>
    <s v=""/>
    <n v="3"/>
    <s v="no"/>
    <s v=""/>
    <s v=""/>
    <n v="17.7"/>
    <x v="4"/>
    <x v="0"/>
    <s v="UNMAPPED"/>
    <s v="UNMAPPED"/>
  </r>
  <r>
    <s v="SUB-0335"/>
    <s v="SYN-0335"/>
    <s v="yes"/>
    <s v="1.0.0"/>
    <s v="ROUND_1"/>
    <d v="2025-08-18T00:00:00"/>
    <d v="2025-06-16T00:00:00"/>
    <s v="EAST"/>
    <s v="E02"/>
    <s v="ENUM_02"/>
    <s v="yes"/>
    <s v="35_44"/>
    <s v="woman"/>
    <n v="5"/>
    <s v="no"/>
    <s v="yes"/>
    <d v="2025-08-15T00:00:00"/>
    <s v="digital_skills"/>
    <n v="4"/>
    <n v="4"/>
    <n v="4"/>
    <s v="yes"/>
    <n v="3"/>
    <s v="no"/>
    <s v=""/>
    <s v=""/>
    <n v="31.6"/>
    <x v="2"/>
    <x v="1"/>
    <s v="Digital skills"/>
    <s v="UNMAPPED"/>
  </r>
  <r>
    <s v="SUB-0300"/>
    <s v="SYN-0300"/>
    <s v="yes"/>
    <s v="1.0.0"/>
    <s v="ROUND_1"/>
    <d v="2025-07-25T00:00:00"/>
    <d v="2025-03-24T00:00:00"/>
    <s v="EAST"/>
    <s v="E03"/>
    <s v="ENUM_08"/>
    <s v="yes"/>
    <s v="35_44"/>
    <s v="man"/>
    <n v="4"/>
    <s v="no"/>
    <s v="yes"/>
    <d v="2025-07-07T00:00:00"/>
    <s v="planning"/>
    <n v="4"/>
    <n v="3"/>
    <n v="5"/>
    <s v="yes"/>
    <n v="3"/>
    <s v="yes"/>
    <s v="printed_material"/>
    <s v=""/>
    <n v="29.2"/>
    <x v="2"/>
    <x v="1"/>
    <s v="Planning"/>
    <s v="Printed material"/>
  </r>
  <r>
    <s v="SUB-0394"/>
    <s v="SYN-0394"/>
    <s v="yes"/>
    <s v="1.0.0"/>
    <s v="ROUND_1"/>
    <d v="2025-04-07T00:00:00"/>
    <d v="2024-12-10T00:00:00"/>
    <s v="SOUTH"/>
    <s v="S02"/>
    <s v="ENUM_05"/>
    <s v="yes"/>
    <s v="45_54"/>
    <s v="woman"/>
    <n v="5"/>
    <s v="no"/>
    <s v="no"/>
    <m/>
    <s v=""/>
    <m/>
    <m/>
    <m/>
    <s v=""/>
    <n v="4"/>
    <s v="yes"/>
    <s v="printed_material"/>
    <s v=""/>
    <n v="16.399999999999999"/>
    <x v="4"/>
    <x v="1"/>
    <s v="UNMAPPED"/>
    <s v="Printed material"/>
  </r>
  <r>
    <s v="SUB-0232"/>
    <s v="SYN-0232"/>
    <s v="yes"/>
    <s v="1.0.0"/>
    <s v="ROUND_2"/>
    <d v="2025-05-19T00:00:00"/>
    <d v="2025-01-26T00:00:00"/>
    <s v="EAST"/>
    <s v="E01"/>
    <s v="ENUM_07"/>
    <s v="yes"/>
    <s v="45_54"/>
    <s v="man"/>
    <n v="3"/>
    <s v="no"/>
    <s v="no"/>
    <m/>
    <s v=""/>
    <m/>
    <m/>
    <m/>
    <s v=""/>
    <n v="5"/>
    <s v="no"/>
    <s v=""/>
    <s v=""/>
    <n v="21"/>
    <x v="2"/>
    <x v="0"/>
    <s v="UNMAPPED"/>
    <s v="UNMAPPED"/>
  </r>
  <r>
    <s v="SUB-0321"/>
    <s v="SYN-0321"/>
    <s v="yes"/>
    <s v="1.0.0"/>
    <s v="ROUND_1"/>
    <d v="2025-05-08T00:00:00"/>
    <d v="2025-03-27T00:00:00"/>
    <s v="EAST"/>
    <s v="E02"/>
    <s v="ENUM_05"/>
    <s v="yes"/>
    <s v="18_24"/>
    <s v="woman"/>
    <n v="3"/>
    <s v="no"/>
    <s v="yes"/>
    <d v="2025-04-22T00:00:00"/>
    <s v="planning"/>
    <n v="3"/>
    <n v="4"/>
    <n v="5"/>
    <s v="no"/>
    <n v="4"/>
    <s v="yes"/>
    <s v="printed_material"/>
    <s v="The practical examples made the sessions easier to understand."/>
    <n v="19.899999999999999"/>
    <x v="2"/>
    <x v="1"/>
    <s v="Planning"/>
    <s v="Printed material"/>
  </r>
  <r>
    <s v="SUB-0371"/>
    <s v="SYN-0371"/>
    <s v="yes"/>
    <s v="1.0.0"/>
    <s v="ROUND_2"/>
    <d v="2025-05-28T00:00:00"/>
    <d v="2025-04-18T00:00:00"/>
    <s v="WEST"/>
    <s v="W02"/>
    <s v="ENUM_08"/>
    <s v="yes"/>
    <s v="35_44"/>
    <s v="man"/>
    <n v="7"/>
    <s v="no"/>
    <s v="yes"/>
    <d v="2025-05-25T00:00:00"/>
    <s v="planning"/>
    <n v="5"/>
    <n v="3"/>
    <n v="5"/>
    <s v="no"/>
    <n v="3"/>
    <s v="no"/>
    <s v=""/>
    <s v=""/>
    <n v="9.3000000000000007"/>
    <x v="1"/>
    <x v="0"/>
    <s v="Planning"/>
    <s v="UNMAPPED"/>
  </r>
  <r>
    <s v="SUB-0104"/>
    <s v="SYN-0104"/>
    <s v="yes"/>
    <s v="1.0.0"/>
    <s v="ROUND_1"/>
    <d v="2025-07-06T00:00:00"/>
    <d v="2025-06-06T00:00:00"/>
    <s v="SOUTH"/>
    <s v="S01"/>
    <s v="ENUM_05"/>
    <s v="yes"/>
    <s v="25_34"/>
    <s v="woman"/>
    <n v="7"/>
    <s v="no"/>
    <s v="no"/>
    <m/>
    <s v=""/>
    <m/>
    <m/>
    <m/>
    <s v=""/>
    <n v="3"/>
    <s v="no"/>
    <s v=""/>
    <s v=""/>
    <n v="15.4"/>
    <x v="4"/>
    <x v="1"/>
    <s v="UNMAPPED"/>
    <s v="UNMAPPED"/>
  </r>
  <r>
    <s v="SUB-0347"/>
    <s v="SYN-0347"/>
    <s v="yes"/>
    <s v="1.0.0"/>
    <s v="ROUND_1"/>
    <d v="2025-05-25T00:00:00"/>
    <d v="2025-01-23T00:00:00"/>
    <s v="EAST"/>
    <s v="E02"/>
    <s v="ENUM_08"/>
    <s v="yes"/>
    <s v="18_24"/>
    <s v="man"/>
    <n v="6"/>
    <s v="no"/>
    <s v="yes"/>
    <d v="2025-04-09T00:00:00"/>
    <s v="financial_skills"/>
    <n v="5"/>
    <n v="3"/>
    <n v="4"/>
    <s v="yes"/>
    <n v="3"/>
    <s v="no"/>
    <s v=""/>
    <s v="The practical examples made the sessions easier to understand."/>
    <n v="18.399999999999999"/>
    <x v="2"/>
    <x v="1"/>
    <s v="Financial skills"/>
    <s v="UNMAPPED"/>
  </r>
  <r>
    <s v="SUB-0377"/>
    <s v="SYN-0377"/>
    <s v="yes"/>
    <s v="1.0.0"/>
    <s v="ROUND_2"/>
    <d v="2025-07-08T00:00:00"/>
    <d v="2025-04-26T00:00:00"/>
    <s v="EAST"/>
    <s v="E02"/>
    <s v="ENUM_03"/>
    <s v="yes"/>
    <s v="55_plus"/>
    <s v="woman"/>
    <n v="2"/>
    <s v="no"/>
    <s v="yes"/>
    <d v="2025-05-26T00:00:00"/>
    <s v="digital_skills"/>
    <n v="5"/>
    <n v="4"/>
    <n v="4"/>
    <s v="yes"/>
    <n v="3"/>
    <s v="no"/>
    <s v=""/>
    <s v=""/>
    <n v="23.4"/>
    <x v="2"/>
    <x v="0"/>
    <s v="Digital skills"/>
    <s v="UNMAPPED"/>
  </r>
  <r>
    <s v="SUB-0361"/>
    <s v="SYN-0361"/>
    <s v="yes"/>
    <s v="1.0.0"/>
    <s v="ROUND_2"/>
    <d v="2025-06-14T00:00:00"/>
    <d v="2025-01-18T00:00:00"/>
    <s v="SOUTH"/>
    <s v="S03"/>
    <s v="ENUM_01"/>
    <s v="yes"/>
    <s v="45_54"/>
    <s v="man"/>
    <n v="9"/>
    <s v="no"/>
    <s v="no"/>
    <m/>
    <s v=""/>
    <m/>
    <m/>
    <m/>
    <s v=""/>
    <n v="4"/>
    <s v="no"/>
    <s v=""/>
    <s v=""/>
    <n v="20.7"/>
    <x v="4"/>
    <x v="0"/>
    <s v="UNMAPPED"/>
    <s v="UNMAPPED"/>
  </r>
  <r>
    <s v="SUB-0003"/>
    <s v="SYN-0003"/>
    <s v="yes"/>
    <s v="1.0.0"/>
    <s v="ROUND_1"/>
    <d v="2025-08-04T00:00:00"/>
    <d v="2025-03-24T00:00:00"/>
    <s v="NORTH"/>
    <s v="N01"/>
    <s v="ENUM_06"/>
    <s v="yes"/>
    <s v="25_34"/>
    <s v="man"/>
    <n v="4"/>
    <s v="yes"/>
    <s v="no"/>
    <m/>
    <s v=""/>
    <m/>
    <m/>
    <m/>
    <s v=""/>
    <n v="5"/>
    <s v="no"/>
    <s v=""/>
    <s v=""/>
    <n v="16.600000000000001"/>
    <x v="0"/>
    <x v="1"/>
    <s v="UNMAPPED"/>
    <s v="UNMAPPED"/>
  </r>
  <r>
    <s v="SUB-0378"/>
    <s v="SYN-0378"/>
    <s v="yes"/>
    <s v="1.0.0"/>
    <s v="ROUND_2"/>
    <d v="2025-05-26T00:00:00"/>
    <d v="2025-03-03T00:00:00"/>
    <s v="WEST"/>
    <s v="W01"/>
    <s v="ENUM_04"/>
    <s v="yes"/>
    <s v="55_plus"/>
    <s v="woman"/>
    <n v="4"/>
    <s v="no"/>
    <s v="yes"/>
    <d v="2025-04-09T00:00:00"/>
    <s v="planning"/>
    <n v="5"/>
    <n v="1"/>
    <n v="1"/>
    <s v="yes"/>
    <n v="4"/>
    <s v="yes"/>
    <s v="community_meeting"/>
    <s v=""/>
    <n v="22"/>
    <x v="1"/>
    <x v="0"/>
    <s v="Planning"/>
    <s v="Community meeting"/>
  </r>
  <r>
    <s v="SUB-0072"/>
    <s v="SYN-0072"/>
    <s v="yes"/>
    <s v="1.0.0"/>
    <s v="ROUND_1"/>
    <d v="2025-05-21T00:00:00"/>
    <d v="2025-04-03T00:00:00"/>
    <s v="SOUTH"/>
    <s v="S02"/>
    <s v="ENUM_04"/>
    <s v="yes"/>
    <s v="35_44"/>
    <s v="woman"/>
    <n v="4"/>
    <s v="no"/>
    <s v="no"/>
    <m/>
    <s v=""/>
    <m/>
    <m/>
    <m/>
    <s v=""/>
    <n v="3"/>
    <s v="no"/>
    <s v=""/>
    <s v=""/>
    <n v="24"/>
    <x v="4"/>
    <x v="1"/>
    <s v="UNMAPPED"/>
    <s v="UNMAPPED"/>
  </r>
  <r>
    <s v="SUB-0383"/>
    <s v="SYN-0383"/>
    <s v="yes"/>
    <s v="1.0.0"/>
    <s v="ROUND_1"/>
    <d v="2025-08-03T00:00:00"/>
    <d v="2025-06-03T00:00:00"/>
    <s v="SOUTH"/>
    <s v="S01"/>
    <s v="ENUM_08"/>
    <s v="yes"/>
    <s v="45_54"/>
    <s v="man"/>
    <n v="6"/>
    <s v="no"/>
    <s v="yes"/>
    <d v="2025-06-23T00:00:00"/>
    <s v="digital_skills"/>
    <n v="5"/>
    <n v="1"/>
    <n v="1"/>
    <s v="no"/>
    <n v="1"/>
    <s v="no"/>
    <s v=""/>
    <s v=""/>
    <n v="26.5"/>
    <x v="4"/>
    <x v="1"/>
    <s v="Digital skills"/>
    <s v="UNMAPPED"/>
  </r>
  <r>
    <s v="SUB-0035"/>
    <s v="SYN-0035"/>
    <s v="yes"/>
    <s v="1.0.0"/>
    <s v="ROUND_2"/>
    <d v="2025-04-02T00:00:00"/>
    <d v="2024-11-24T00:00:00"/>
    <s v="NORTH"/>
    <s v="N02"/>
    <s v="ENUM_01"/>
    <s v="yes"/>
    <s v="45_54"/>
    <s v="man"/>
    <n v="4"/>
    <s v="no"/>
    <s v="yes"/>
    <d v="2025-01-17T00:00:00"/>
    <s v="financial_skills"/>
    <n v="4"/>
    <n v="2"/>
    <n v="2"/>
    <s v="no"/>
    <n v="1"/>
    <s v="no"/>
    <s v=""/>
    <s v=""/>
    <n v="10.3"/>
    <x v="0"/>
    <x v="0"/>
    <s v="Financial skills"/>
    <s v="UNMAPPED"/>
  </r>
  <r>
    <s v="SUB-0376"/>
    <s v="SYN-0376"/>
    <s v="yes"/>
    <s v="1.0.0"/>
    <s v="ROUND_2"/>
    <d v="2025-07-03T00:00:00"/>
    <d v="2025-03-27T00:00:00"/>
    <s v="SOUTH"/>
    <s v="S01"/>
    <s v="ENUM_08"/>
    <s v="yes"/>
    <s v="45_54"/>
    <s v="man"/>
    <n v="5"/>
    <s v="yes"/>
    <s v="yes"/>
    <d v="2025-05-02T00:00:00"/>
    <s v="digital_skills"/>
    <n v="4"/>
    <n v="1"/>
    <n v="2"/>
    <s v="no"/>
    <n v="2"/>
    <s v="no"/>
    <s v=""/>
    <s v=""/>
    <n v="18.600000000000001"/>
    <x v="4"/>
    <x v="0"/>
    <s v="Digital skills"/>
    <s v="UNMAPPED"/>
  </r>
  <r>
    <s v="SUB-0174"/>
    <s v="SYN-0174"/>
    <s v="yes"/>
    <s v="1.0.0"/>
    <s v="ROUND_1"/>
    <d v="2025-08-30T00:00:00"/>
    <d v="2025-04-24T00:00:00"/>
    <s v="WEST"/>
    <s v="W03"/>
    <s v="ENUM_03"/>
    <s v="yes"/>
    <s v="35_44"/>
    <s v="man"/>
    <n v="8"/>
    <s v="no"/>
    <s v="yes"/>
    <d v="2025-04-28T00:00:00"/>
    <s v="financial_skills"/>
    <n v="5"/>
    <n v="1"/>
    <n v="3"/>
    <s v="yes"/>
    <n v="4"/>
    <s v="no"/>
    <s v=""/>
    <s v=""/>
    <n v="26.9"/>
    <x v="1"/>
    <x v="1"/>
    <s v="Financial skills"/>
    <s v="UNMAPPED"/>
  </r>
  <r>
    <s v="SUB-0234"/>
    <s v="SYN-0234"/>
    <s v="yes"/>
    <s v="1.0.0"/>
    <s v="ROUND_2"/>
    <d v="2025-04-22T00:00:00"/>
    <d v="2025-02-20T00:00:00"/>
    <s v="EAST"/>
    <s v="E01"/>
    <s v="ENUM_01"/>
    <s v="yes"/>
    <s v="35_44"/>
    <s v="man"/>
    <n v="7"/>
    <s v="no"/>
    <s v="yes"/>
    <d v="2025-04-11T00:00:00"/>
    <s v="leadership"/>
    <n v="3"/>
    <n v="2"/>
    <n v="3"/>
    <s v="yes"/>
    <n v="5"/>
    <s v="no"/>
    <s v=""/>
    <s v="I would like more examples about budgeting and record keeping."/>
    <n v="13.1"/>
    <x v="2"/>
    <x v="0"/>
    <s v="Leadership"/>
    <s v="UNMAPPED"/>
  </r>
  <r>
    <s v="SUB-DUP-007"/>
    <s v="SYN-0395"/>
    <s v="yes"/>
    <s v="1.0.0"/>
    <s v="ROUND_2"/>
    <d v="2025-06-03T00:00:00"/>
    <d v="2025-04-28T00:00:00"/>
    <s v="EAST"/>
    <s v="E03"/>
    <s v="ENUM_01"/>
    <s v="yes"/>
    <s v="35_44"/>
    <s v="woman"/>
    <n v="9"/>
    <s v="no"/>
    <s v="yes"/>
    <d v="2025-06-03T00:00:00"/>
    <s v="digital_skills"/>
    <n v="4"/>
    <n v="4"/>
    <n v="5"/>
    <s v="yes"/>
    <n v="3"/>
    <s v="no"/>
    <s v=""/>
    <s v=""/>
    <n v="23.1"/>
    <x v="2"/>
    <x v="0"/>
    <s v="Digital skills"/>
    <s v="UNMAPPED"/>
  </r>
  <r>
    <s v="SUB-0356"/>
    <s v="SYN-0356"/>
    <s v="yes"/>
    <s v="1.0.0"/>
    <s v="ROUND_2"/>
    <d v="2025-08-29T00:00:00"/>
    <d v="2025-06-24T00:00:00"/>
    <s v="SOUTH"/>
    <s v="S02"/>
    <s v="ENUM_03"/>
    <s v="yes"/>
    <s v="25_34"/>
    <s v="man"/>
    <n v="7"/>
    <s v="no"/>
    <s v="no"/>
    <m/>
    <s v=""/>
    <m/>
    <m/>
    <m/>
    <s v=""/>
    <n v="4"/>
    <s v="no"/>
    <s v=""/>
    <s v=""/>
    <n v="19.899999999999999"/>
    <x v="4"/>
    <x v="0"/>
    <s v="UNMAPPED"/>
    <s v="UNMAPPED"/>
  </r>
  <r>
    <s v="SUB-0369"/>
    <s v="SYN-0369"/>
    <s v="yes"/>
    <s v="1.0.0"/>
    <s v="ROUND_2"/>
    <d v="2026-01-15T00:00:00"/>
    <d v="2025-02-11T00:00:00"/>
    <s v="EAST"/>
    <s v="E02"/>
    <s v="ENUM_06"/>
    <s v="yes"/>
    <s v="25_34"/>
    <s v="woman"/>
    <n v="6"/>
    <s v="no"/>
    <s v="yes"/>
    <d v="2025-02-18T00:00:00"/>
    <s v="financial_skills"/>
    <n v="4"/>
    <n v="2"/>
    <n v="2"/>
    <s v="yes"/>
    <n v="5"/>
    <s v="yes"/>
    <s v="printed_material"/>
    <s v=""/>
    <n v="21.4"/>
    <x v="2"/>
    <x v="0"/>
    <s v="Financial skills"/>
    <s v="Printed material"/>
  </r>
  <r>
    <s v="SUB-0214"/>
    <s v="SYN-0214"/>
    <s v="yes"/>
    <s v="1.0.0"/>
    <s v="ROUND_2"/>
    <d v="2025-04-01T00:00:00"/>
    <d v="2025-02-19T00:00:00"/>
    <s v="EAST"/>
    <s v="E02"/>
    <s v="ENUM_08"/>
    <s v="yes"/>
    <s v="18_24"/>
    <s v="woman"/>
    <n v="8"/>
    <s v="no"/>
    <s v="yes"/>
    <d v="2025-03-07T00:00:00"/>
    <s v="planning"/>
    <n v="4"/>
    <n v="2"/>
    <n v="2"/>
    <s v="yes"/>
    <n v="2"/>
    <s v="no"/>
    <s v=""/>
    <s v=""/>
    <n v="13.6"/>
    <x v="2"/>
    <x v="0"/>
    <s v="Planning"/>
    <s v="UNMAPPED"/>
  </r>
  <r>
    <s v="SUB-0329"/>
    <s v="SYN-0329"/>
    <s v="yes"/>
    <s v="1.0.0"/>
    <s v="ROUND_1"/>
    <d v="2025-09-27T00:00:00"/>
    <d v="2025-08-20T00:00:00"/>
    <s v="NORTH"/>
    <s v="N01"/>
    <s v="ENUM_06"/>
    <s v="yes"/>
    <s v="55_plus"/>
    <s v="man"/>
    <n v="8"/>
    <s v="no"/>
    <s v="yes"/>
    <d v="2025-09-02T00:00:00"/>
    <s v="financial_skills"/>
    <n v="4"/>
    <n v="4"/>
    <n v="4"/>
    <s v="no"/>
    <n v="4"/>
    <s v="yes"/>
    <s v="printed_material"/>
    <s v=""/>
    <n v="1"/>
    <x v="0"/>
    <x v="1"/>
    <s v="Financial skills"/>
    <s v="Printed material"/>
  </r>
  <r>
    <s v="SUB-0069"/>
    <s v="SYN-0069"/>
    <s v="yes"/>
    <s v="1.0.0"/>
    <s v="ROUND_1"/>
    <d v="2025-07-29T00:00:00"/>
    <d v="2025-03-19T00:00:00"/>
    <s v="EAST"/>
    <s v="E02"/>
    <s v="ENUM_99"/>
    <s v="yes"/>
    <s v="55_plus"/>
    <s v="man"/>
    <n v="4"/>
    <s v="no"/>
    <s v="yes"/>
    <d v="2025-07-25T00:00:00"/>
    <s v="leadership"/>
    <n v="4"/>
    <n v="3"/>
    <n v="3"/>
    <s v="yes"/>
    <n v="3"/>
    <s v="no"/>
    <s v=""/>
    <s v="Printed materials would help people who cannot attend every session."/>
    <n v="6.6"/>
    <x v="2"/>
    <x v="1"/>
    <s v="Leadership"/>
    <s v="UNMAPPED"/>
  </r>
  <r>
    <s v="SUB-0337"/>
    <s v="SYN-0337"/>
    <s v="yes"/>
    <s v="1.0.0"/>
    <s v="ROUND_2"/>
    <d v="2025-06-17T00:00:00"/>
    <d v="2025-01-26T00:00:00"/>
    <s v="NORTH"/>
    <s v="N02"/>
    <s v="ENUM_07"/>
    <s v="yes"/>
    <s v="45_54"/>
    <s v="woman"/>
    <n v="5"/>
    <s v="no"/>
    <s v="yes"/>
    <d v="2025-05-10T00:00:00"/>
    <s v="planning"/>
    <n v="3"/>
    <n v="2"/>
    <n v="3"/>
    <s v="no"/>
    <n v="4"/>
    <s v="no"/>
    <s v=""/>
    <s v="Travel to the meeting location was difficult during bad weather."/>
    <n v="21.6"/>
    <x v="0"/>
    <x v="0"/>
    <s v="Planning"/>
    <s v="UNMAPPED"/>
  </r>
  <r>
    <s v="SUB-0113"/>
    <s v="SYN-0113"/>
    <s v="yes"/>
    <s v="1.0.0"/>
    <s v="ROUND_2"/>
    <d v="2025-09-12T00:00:00"/>
    <d v="2025-07-28T00:00:00"/>
    <s v="NORTH"/>
    <s v="N03"/>
    <s v="ENUM_05"/>
    <s v="yes"/>
    <s v="35_44"/>
    <s v="non_binary"/>
    <n v="5"/>
    <s v="no"/>
    <s v="yes"/>
    <d v="2025-08-28T00:00:00"/>
    <s v="leadership"/>
    <n v="4"/>
    <n v="3"/>
    <n v="5"/>
    <s v="no"/>
    <n v="3"/>
    <s v="no"/>
    <s v=""/>
    <s v="Shorter sessions on more days would be easier to attend."/>
    <n v="22.4"/>
    <x v="0"/>
    <x v="0"/>
    <s v="Leadership"/>
    <s v="UNMAPPED"/>
  </r>
  <r>
    <s v="SUB-0393"/>
    <s v="SYN-0393"/>
    <s v="yes"/>
    <s v="1.0.0"/>
    <s v="ROUND_1"/>
    <d v="2025-07-25T00:00:00"/>
    <d v="2025-04-08T00:00:00"/>
    <s v="EAST"/>
    <s v="E02"/>
    <s v="ENUM_05"/>
    <s v="yes"/>
    <s v="25_34"/>
    <s v="man"/>
    <n v="6"/>
    <s v="yes"/>
    <s v="yes"/>
    <d v="2025-05-29T00:00:00"/>
    <s v="financial_skills"/>
    <n v="5"/>
    <n v="3"/>
    <n v="4"/>
    <s v="yes"/>
    <n v="2"/>
    <s v="no"/>
    <s v=""/>
    <s v=""/>
    <n v="6.8"/>
    <x v="2"/>
    <x v="1"/>
    <s v="Financial skills"/>
    <s v="UNMAPPED"/>
  </r>
  <r>
    <s v="SUB-0175"/>
    <s v="SYN-0175"/>
    <s v="yes"/>
    <s v="1.0.0"/>
    <s v="ROUND_1"/>
    <d v="2025-04-27T00:00:00"/>
    <d v="2025-03-02T00:00:00"/>
    <s v="EAST"/>
    <s v="E03"/>
    <s v="ENUM_06"/>
    <s v="yes"/>
    <s v="45_54"/>
    <s v="woman"/>
    <n v="3"/>
    <s v="no"/>
    <s v="yes"/>
    <d v="2025-03-15T00:00:00"/>
    <s v="digital_skills"/>
    <n v="5"/>
    <n v="1"/>
    <n v="2"/>
    <s v="no"/>
    <n v="3"/>
    <s v="no"/>
    <s v=""/>
    <s v=""/>
    <n v="16.5"/>
    <x v="2"/>
    <x v="1"/>
    <s v="Digital skills"/>
    <s v="UNMAPPED"/>
  </r>
  <r>
    <s v="SUB-0171"/>
    <s v="SYN-0171"/>
    <s v="yes"/>
    <s v="1.0.0"/>
    <s v="ROUND_1"/>
    <d v="2025-05-05T00:00:00"/>
    <d v="2025-01-27T00:00:00"/>
    <s v="NORTH"/>
    <s v="N01"/>
    <s v="ENUM_04"/>
    <s v="yes"/>
    <s v="25_34"/>
    <s v="man"/>
    <n v="2"/>
    <s v="no"/>
    <s v="no"/>
    <d v="2025-05-05T00:00:00"/>
    <s v="digital_skills"/>
    <n v="4"/>
    <n v="2"/>
    <n v="4"/>
    <s v="yes"/>
    <n v="3"/>
    <s v="no"/>
    <s v=""/>
    <s v=""/>
    <n v="17.3"/>
    <x v="0"/>
    <x v="1"/>
    <s v="Digital skills"/>
    <s v="UNMAPPED"/>
  </r>
  <r>
    <s v="SUB-0030"/>
    <s v="SYN-0030"/>
    <s v="yes"/>
    <s v="1.0.0"/>
    <s v="ROUND_2"/>
    <d v="2025-06-07T00:00:00"/>
    <d v="2025-02-12T00:00:00"/>
    <s v="NORTH"/>
    <s v="N03"/>
    <s v="ENUM_08"/>
    <s v="yes"/>
    <s v="35_44"/>
    <s v="prefer_not"/>
    <n v="6"/>
    <s v="no"/>
    <s v="yes"/>
    <d v="2025-02-23T00:00:00"/>
    <s v="financial_skills"/>
    <n v="4"/>
    <n v="3"/>
    <n v="3"/>
    <s v="yes"/>
    <n v="4"/>
    <s v="no"/>
    <s v=""/>
    <s v=""/>
    <n v="22.8"/>
    <x v="0"/>
    <x v="0"/>
    <s v="Financial skills"/>
    <s v="UNMAPPED"/>
  </r>
  <r>
    <s v="SUB-0005"/>
    <s v="SYN-0005"/>
    <s v="yes"/>
    <s v="1.0.0"/>
    <s v="ROUND_2"/>
    <d v="2025-07-04T00:00:00"/>
    <d v="2025-03-17T00:00:00"/>
    <s v="EAST"/>
    <s v="E02"/>
    <s v="ENUM_06"/>
    <s v="yes"/>
    <s v="55_plus"/>
    <s v="man"/>
    <n v="3"/>
    <s v="no"/>
    <s v="yes"/>
    <d v="2025-04-22T00:00:00"/>
    <s v="financial_skills"/>
    <n v="3"/>
    <n v="2"/>
    <n v="3"/>
    <s v="no"/>
    <n v="3"/>
    <s v="no"/>
    <s v=""/>
    <s v=""/>
    <n v="14.8"/>
    <x v="2"/>
    <x v="0"/>
    <s v="Financial skills"/>
    <s v="UNMAPPED"/>
  </r>
  <r>
    <s v="SUB-0189"/>
    <s v="SYN-0189"/>
    <s v="yes"/>
    <s v="1.0.0"/>
    <s v="ROUND_2"/>
    <d v="2025-08-03T00:00:00"/>
    <d v="2025-05-06T00:00:00"/>
    <s v="SOUTH"/>
    <s v="S03"/>
    <s v="ENUM_07"/>
    <s v="yes"/>
    <s v="25_34"/>
    <s v="woman"/>
    <n v="4"/>
    <s v="no"/>
    <s v="yes"/>
    <d v="2025-06-12T00:00:00"/>
    <s v="digital_skills"/>
    <n v="4"/>
    <n v="1"/>
    <n v="2"/>
    <s v="yes"/>
    <n v="4"/>
    <s v="no"/>
    <s v=""/>
    <s v=""/>
    <n v="13.6"/>
    <x v="4"/>
    <x v="0"/>
    <s v="Digital skills"/>
    <s v="UNMAPPED"/>
  </r>
  <r>
    <s v="SUB-0367"/>
    <s v="SYN-0367"/>
    <s v="yes"/>
    <s v="1.0.0"/>
    <s v="ROUND_1"/>
    <d v="2025-08-07T00:00:00"/>
    <d v="2025-04-28T00:00:00"/>
    <s v="SOUTH"/>
    <s v="S02"/>
    <s v="ENUM_07"/>
    <s v="yes"/>
    <s v="35_44"/>
    <s v="woman"/>
    <n v="8"/>
    <s v="no"/>
    <s v="yes"/>
    <d v="2025-05-19T00:00:00"/>
    <s v="planning"/>
    <n v="3"/>
    <n v="1"/>
    <n v="2"/>
    <s v="yes"/>
    <n v="3"/>
    <s v="no"/>
    <s v=""/>
    <s v=""/>
    <n v="25.6"/>
    <x v="4"/>
    <x v="1"/>
    <s v="Planning"/>
    <s v="UNMAPPED"/>
  </r>
  <r>
    <s v="SUB-0410"/>
    <s v="SYN-0410"/>
    <s v="yes"/>
    <s v="1.0.0"/>
    <s v="ROUND_2"/>
    <d v="2025-06-10T00:00:00"/>
    <d v="2025-04-08T00:00:00"/>
    <s v="EAST"/>
    <s v="W01"/>
    <s v="ENUM_02"/>
    <s v="yes"/>
    <s v="25_34"/>
    <s v="man"/>
    <n v="5"/>
    <s v="yes"/>
    <s v="yes"/>
    <d v="2025-05-14T00:00:00"/>
    <s v="digital_skills"/>
    <n v="5"/>
    <n v="2"/>
    <n v="3"/>
    <s v="no"/>
    <n v="1"/>
    <s v="no"/>
    <s v=""/>
    <s v=""/>
    <n v="5.8"/>
    <x v="2"/>
    <x v="0"/>
    <s v="Digital skills"/>
    <s v="UNMAPPED"/>
  </r>
  <r>
    <s v="SUB-0205"/>
    <s v="SYN-0205"/>
    <s v="yes"/>
    <s v="1.0.0"/>
    <s v="ROUND_1"/>
    <d v="2025-04-03T00:00:00"/>
    <d v="2025-03-02T00:00:00"/>
    <s v="WEST"/>
    <s v="W02"/>
    <s v="ENUM_01"/>
    <s v="yes"/>
    <s v="25_34"/>
    <s v="woman"/>
    <n v="9"/>
    <s v="no"/>
    <s v="yes"/>
    <d v="2025-03-09T00:00:00"/>
    <s v="planning"/>
    <n v="4"/>
    <n v="4"/>
    <n v="5"/>
    <s v="yes"/>
    <n v="4"/>
    <s v="no"/>
    <s v=""/>
    <s v=""/>
    <n v="20.399999999999999"/>
    <x v="1"/>
    <x v="1"/>
    <s v="Planning"/>
    <s v="UNMAPPED"/>
  </r>
  <r>
    <s v="SUB-0349"/>
    <s v="SYN-0349"/>
    <s v="yes"/>
    <s v="1.0.0"/>
    <s v=""/>
    <m/>
    <m/>
    <s v=""/>
    <s v=""/>
    <s v=""/>
    <s v="no"/>
    <s v=""/>
    <s v=""/>
    <m/>
    <s v=""/>
    <s v=""/>
    <m/>
    <s v=""/>
    <m/>
    <m/>
    <m/>
    <s v=""/>
    <m/>
    <s v=""/>
    <s v=""/>
    <s v=""/>
    <m/>
    <x v="3"/>
    <x v="2"/>
    <s v="UNMAPPED"/>
    <s v="UNMAPPED"/>
  </r>
  <r>
    <s v="SUB-0267"/>
    <s v="SYN-0267"/>
    <s v="yes"/>
    <s v="1.0.0"/>
    <s v="ROUND_2"/>
    <d v="2025-06-09T00:00:00"/>
    <d v="2025-02-17T00:00:00"/>
    <s v="NORTH"/>
    <s v="N01"/>
    <s v="ENUM_06"/>
    <s v="yes"/>
    <s v="25_34"/>
    <s v="woman"/>
    <n v="5"/>
    <s v="no"/>
    <s v="yes"/>
    <d v="2025-06-06T00:00:00"/>
    <s v="digital_skills"/>
    <n v="2"/>
    <n v="4"/>
    <n v="5"/>
    <s v="yes"/>
    <n v="2"/>
    <s v="yes"/>
    <s v="community_meeting"/>
    <s v=""/>
    <n v="26.9"/>
    <x v="0"/>
    <x v="0"/>
    <s v="Digital skills"/>
    <s v="Community meeting"/>
  </r>
  <r>
    <s v="SUB-0216"/>
    <s v="SYN-0216"/>
    <s v="yes"/>
    <s v="1.0.0"/>
    <s v="ROUND_1"/>
    <d v="2025-04-01T00:00:00"/>
    <d v="2025-02-05T00:00:00"/>
    <s v="EAST"/>
    <s v="W01"/>
    <s v="ENUM_04"/>
    <s v="yes"/>
    <s v="18_24"/>
    <s v="woman"/>
    <n v="7"/>
    <s v="no"/>
    <s v="yes"/>
    <d v="2025-03-17T00:00:00"/>
    <s v="digital_skills"/>
    <n v="5"/>
    <n v="1"/>
    <n v="3"/>
    <s v="yes"/>
    <n v="4"/>
    <s v="yes"/>
    <s v="radio"/>
    <s v=""/>
    <n v="23.8"/>
    <x v="2"/>
    <x v="1"/>
    <s v="Digital skills"/>
    <s v="Radio"/>
  </r>
  <r>
    <s v="SUB-0140"/>
    <s v="SYN-0140"/>
    <s v="yes"/>
    <s v="1.0.0"/>
    <s v="ROUND_2"/>
    <d v="2025-09-13T00:00:00"/>
    <d v="2025-05-19T00:00:00"/>
    <s v="SOUTH"/>
    <s v="S01"/>
    <s v="ENUM_01"/>
    <s v="yes"/>
    <s v="18_24"/>
    <s v="man"/>
    <n v="4"/>
    <s v="no"/>
    <s v="yes"/>
    <d v="2025-08-06T00:00:00"/>
    <s v="other_invalid"/>
    <n v="5"/>
    <n v="1"/>
    <n v="2"/>
    <s v="no"/>
    <n v="3"/>
    <s v="no"/>
    <s v=""/>
    <s v="The activity should start earlier so participants can travel home safely."/>
    <n v="15.6"/>
    <x v="4"/>
    <x v="0"/>
    <s v="UNMAPPED"/>
    <s v="UNMAPPED"/>
  </r>
  <r>
    <s v="SUB-0024"/>
    <s v="SYN-0024"/>
    <s v="yes"/>
    <s v="1.0.0"/>
    <s v=""/>
    <m/>
    <m/>
    <s v=""/>
    <s v=""/>
    <s v=""/>
    <s v="no"/>
    <s v=""/>
    <s v=""/>
    <m/>
    <s v=""/>
    <s v=""/>
    <m/>
    <s v=""/>
    <m/>
    <m/>
    <m/>
    <s v=""/>
    <m/>
    <s v=""/>
    <s v=""/>
    <s v=""/>
    <m/>
    <x v="3"/>
    <x v="2"/>
    <s v="UNMAPPED"/>
    <s v="UNMAPPED"/>
  </r>
  <r>
    <s v="SUB-0241"/>
    <s v="SYN-0241"/>
    <s v="yes"/>
    <s v="1.0.0"/>
    <s v="ROUND_1"/>
    <d v="2025-07-07T00:00:00"/>
    <d v="2025-04-02T00:00:00"/>
    <s v="WEST"/>
    <s v="W01"/>
    <s v="ENUM_06"/>
    <s v="yes"/>
    <s v="45_54"/>
    <s v="man"/>
    <n v="4"/>
    <s v="yes"/>
    <s v="yes"/>
    <d v="2025-04-23T00:00:00"/>
    <s v="planning"/>
    <n v="5"/>
    <n v="4"/>
    <n v="4"/>
    <s v="no"/>
    <n v="3"/>
    <s v="yes"/>
    <s v="radio"/>
    <s v=""/>
    <n v="27"/>
    <x v="1"/>
    <x v="1"/>
    <s v="Planning"/>
    <s v="Radio"/>
  </r>
  <r>
    <s v="SUB-0292"/>
    <s v="SYN-0292"/>
    <s v="yes"/>
    <s v="1.0.0"/>
    <s v="ROUND_2"/>
    <d v="2025-05-10T00:00:00"/>
    <d v="2024-12-24T00:00:00"/>
    <s v="SOUTH"/>
    <s v="S02"/>
    <s v="ENUM_08"/>
    <s v="yes"/>
    <s v="25_34"/>
    <s v="woman"/>
    <n v="8"/>
    <s v="no"/>
    <s v="no"/>
    <m/>
    <s v=""/>
    <m/>
    <m/>
    <m/>
    <s v=""/>
    <n v="4"/>
    <s v="no"/>
    <s v=""/>
    <s v=""/>
    <n v="8.8000000000000007"/>
    <x v="4"/>
    <x v="0"/>
    <s v="UNMAPPED"/>
    <s v="UNMAPPED"/>
  </r>
  <r>
    <s v="SUB-0037"/>
    <s v="SYN-0037"/>
    <s v="yes"/>
    <s v="1.0.0"/>
    <s v="ROUND_2"/>
    <d v="2025-07-22T00:00:00"/>
    <d v="2025-03-11T00:00:00"/>
    <s v="EAST"/>
    <s v="E02"/>
    <s v="ENUM_07"/>
    <s v="yes"/>
    <s v="18_24"/>
    <s v="woman"/>
    <n v="8"/>
    <s v="no"/>
    <s v="yes"/>
    <d v="2025-05-19T00:00:00"/>
    <s v="planning"/>
    <n v="3"/>
    <n v="4"/>
    <n v="5"/>
    <s v="yes"/>
    <n v="4"/>
    <s v="no"/>
    <s v=""/>
    <s v=""/>
    <n v="28"/>
    <x v="2"/>
    <x v="0"/>
    <s v="Planning"/>
    <s v="UNMAPPED"/>
  </r>
  <r>
    <s v="SUB-0215"/>
    <s v="SYN-0215"/>
    <s v="yes"/>
    <s v="1.0.0"/>
    <s v="ROUND_1"/>
    <d v="2025-07-25T00:00:00"/>
    <d v="2025-03-04T00:00:00"/>
    <s v="SOUTH"/>
    <s v="S02"/>
    <s v="ENUM_04"/>
    <s v="yes"/>
    <s v="25_34"/>
    <s v="man"/>
    <n v="7"/>
    <s v="no"/>
    <s v="yes"/>
    <d v="2025-07-25T00:00:00"/>
    <s v="planning"/>
    <n v="9"/>
    <n v="2"/>
    <n v="3"/>
    <s v="no"/>
    <n v="1"/>
    <s v="no"/>
    <s v=""/>
    <s v=""/>
    <n v="22"/>
    <x v="4"/>
    <x v="1"/>
    <s v="Planning"/>
    <s v="UNMAPPED"/>
  </r>
  <r>
    <s v="SUB-0201"/>
    <s v="SYN-0201"/>
    <s v="yes"/>
    <s v="1.0.0"/>
    <s v="ROUND_2"/>
    <d v="2025-08-24T00:00:00"/>
    <d v="2025-07-15T00:00:00"/>
    <s v="NORTH"/>
    <s v="N01"/>
    <s v="ENUM_02"/>
    <s v="yes"/>
    <s v="25_34"/>
    <s v="woman"/>
    <n v="1"/>
    <s v="no"/>
    <s v="yes"/>
    <d v="2025-08-13T00:00:00"/>
    <s v="leadership"/>
    <n v="5"/>
    <n v="1"/>
    <n v="2"/>
    <s v="yes"/>
    <n v="3"/>
    <s v="no"/>
    <s v=""/>
    <s v=""/>
    <n v="15.4"/>
    <x v="0"/>
    <x v="0"/>
    <s v="Leadership"/>
    <s v="UNMAPPED"/>
  </r>
  <r>
    <s v="SUB-0316"/>
    <s v="SYN-0316"/>
    <s v="yes"/>
    <s v="1.0.0"/>
    <s v="ROUND_1"/>
    <d v="2025-06-14T00:00:00"/>
    <d v="2025-04-05T00:00:00"/>
    <s v="WEST"/>
    <s v="W02"/>
    <s v="ENUM_02"/>
    <s v="yes"/>
    <s v="25_34"/>
    <s v="man"/>
    <n v="8"/>
    <s v="no"/>
    <s v="no"/>
    <m/>
    <s v=""/>
    <m/>
    <m/>
    <m/>
    <s v=""/>
    <n v="3"/>
    <s v="no"/>
    <s v=""/>
    <s v=""/>
    <n v="19.399999999999999"/>
    <x v="1"/>
    <x v="1"/>
    <s v="UNMAPPED"/>
    <s v="UNMAPPED"/>
  </r>
  <r>
    <s v="SUB-0270"/>
    <s v="SYN-0270"/>
    <s v="yes"/>
    <s v="1.0.0"/>
    <s v="ROUND_1"/>
    <d v="2025-05-21T00:00:00"/>
    <d v="2025-01-03T00:00:00"/>
    <s v="EAST"/>
    <s v="E02"/>
    <s v="ENUM_02"/>
    <s v="yes"/>
    <s v="55_plus"/>
    <s v="man"/>
    <n v="5"/>
    <s v="no"/>
    <s v="yes"/>
    <d v="2025-02-22T00:00:00"/>
    <s v="planning"/>
    <n v="5"/>
    <n v="3"/>
    <n v="5"/>
    <s v="no"/>
    <n v="4"/>
    <s v="yes"/>
    <s v="printed_material"/>
    <s v=""/>
    <n v="11.3"/>
    <x v="2"/>
    <x v="1"/>
    <s v="Planning"/>
    <s v="Printed material"/>
  </r>
  <r>
    <s v="SUB-0154"/>
    <s v="SYN-0154"/>
    <s v="yes"/>
    <s v="1.0.0"/>
    <s v="ROUND_1"/>
    <d v="2025-08-13T00:00:00"/>
    <d v="2025-05-14T00:00:00"/>
    <s v="NORTH"/>
    <s v="N03"/>
    <s v="ENUM_04"/>
    <s v="yes"/>
    <s v="45_54"/>
    <s v="man"/>
    <n v="5"/>
    <s v="no"/>
    <s v="yes"/>
    <d v="2025-07-08T00:00:00"/>
    <s v="digital_skills"/>
    <n v="5"/>
    <n v="4"/>
    <n v="5"/>
    <s v="no"/>
    <n v="3"/>
    <s v="no"/>
    <s v=""/>
    <s v="I would like more examples about budgeting and record keeping."/>
    <n v="18"/>
    <x v="0"/>
    <x v="1"/>
    <s v="Digital skills"/>
    <s v="UNMAPPED"/>
  </r>
  <r>
    <s v="SUB-0026"/>
    <s v="SYN-0026"/>
    <s v="yes"/>
    <s v="1.0.0"/>
    <s v="ROUND_2"/>
    <d v="2025-05-14T00:00:00"/>
    <d v="2025-02-23T00:00:00"/>
    <s v="EAST"/>
    <s v="E01"/>
    <s v="ENUM_02"/>
    <s v="yes"/>
    <s v="35_44"/>
    <s v="man"/>
    <n v="4"/>
    <s v="no"/>
    <s v="yes"/>
    <d v="2025-03-03T00:00:00"/>
    <s v="planning"/>
    <n v="4"/>
    <n v="3"/>
    <n v="5"/>
    <s v="yes"/>
    <n v="4"/>
    <s v="no"/>
    <s v=""/>
    <s v="The facilitator explained the topic clearly and respectfully."/>
    <n v="17.399999999999999"/>
    <x v="2"/>
    <x v="0"/>
    <s v="Planning"/>
    <s v="UNMAPPED"/>
  </r>
  <r>
    <s v="SUB-0067"/>
    <s v="SYN-0067"/>
    <s v="yes"/>
    <s v="1.0.0"/>
    <s v="ROUND_2"/>
    <d v="2025-04-17T00:00:00"/>
    <d v="2025-03-07T00:00:00"/>
    <s v="NORTH"/>
    <s v="N02"/>
    <s v="ENUM_01"/>
    <s v="yes"/>
    <s v="25_34"/>
    <s v="man"/>
    <n v="3"/>
    <s v="no"/>
    <s v="yes"/>
    <d v="2025-04-02T00:00:00"/>
    <s v="planning"/>
    <n v="3"/>
    <n v="3"/>
    <n v="4"/>
    <s v="yes"/>
    <n v="4"/>
    <s v="no"/>
    <s v=""/>
    <s v="A location closer to the community would improve attendance."/>
    <n v="26.4"/>
    <x v="0"/>
    <x v="0"/>
    <s v="Planning"/>
    <s v="UNMAPPED"/>
  </r>
  <r>
    <s v="SUB-0197"/>
    <s v="SYN-0197"/>
    <s v="yes"/>
    <s v="1.0.0"/>
    <s v="ROUND_2"/>
    <d v="2025-09-25T00:00:00"/>
    <d v="2025-06-24T00:00:00"/>
    <s v="SOUTH"/>
    <s v="E01"/>
    <s v="ENUM_01"/>
    <s v="yes"/>
    <s v="25_34"/>
    <s v="woman"/>
    <n v="3"/>
    <s v="yes"/>
    <s v="yes"/>
    <d v="2025-09-05T00:00:00"/>
    <s v="digital_skills"/>
    <n v="3"/>
    <n v="2"/>
    <n v="3"/>
    <s v="yes"/>
    <n v="3"/>
    <s v="no"/>
    <s v=""/>
    <s v=""/>
    <n v="22.6"/>
    <x v="4"/>
    <x v="0"/>
    <s v="Digital skills"/>
    <s v="UNMAPPED"/>
  </r>
  <r>
    <s v="SUB-0309"/>
    <s v="SYN-0309"/>
    <s v="yes"/>
    <s v="1.0.0"/>
    <s v="ROUND_1"/>
    <d v="2025-04-10T00:00:00"/>
    <d v="2024-11-15T00:00:00"/>
    <s v="EAST"/>
    <s v="E02"/>
    <s v="ENUM_06"/>
    <s v="yes"/>
    <s v="18_24"/>
    <s v="man"/>
    <n v="99"/>
    <s v="no"/>
    <s v="yes"/>
    <d v="2024-12-09T00:00:00"/>
    <s v="digital_skills"/>
    <n v="5"/>
    <n v="1"/>
    <n v="2"/>
    <s v="yes"/>
    <n v="4"/>
    <s v="no"/>
    <s v=""/>
    <s v=""/>
    <n v="17"/>
    <x v="2"/>
    <x v="1"/>
    <s v="Digital skills"/>
    <s v="UNMAPPED"/>
  </r>
  <r>
    <s v="SUB-0286"/>
    <s v="SYN-0286"/>
    <s v="yes"/>
    <s v="1.0.0"/>
    <s v="ROUND_2"/>
    <d v="2025-06-10T00:00:00"/>
    <d v="2025-04-14T00:00:00"/>
    <s v="WEST"/>
    <s v="W03"/>
    <s v="ENUM_08"/>
    <s v="yes"/>
    <s v="18_24"/>
    <s v="man"/>
    <n v="8"/>
    <s v="no"/>
    <s v="no"/>
    <m/>
    <s v=""/>
    <m/>
    <m/>
    <m/>
    <s v=""/>
    <n v="4"/>
    <s v="no"/>
    <s v=""/>
    <s v=""/>
    <n v="13.1"/>
    <x v="1"/>
    <x v="0"/>
    <s v="UNMAPPED"/>
    <s v="UNMAPPED"/>
  </r>
  <r>
    <s v="SUB-0012"/>
    <s v="SYN-0012"/>
    <s v="yes"/>
    <s v="1.0.0"/>
    <s v="ROUND_2"/>
    <d v="2025-05-27T00:00:00"/>
    <d v="2025-02-16T00:00:00"/>
    <s v="WEST"/>
    <s v="W03"/>
    <s v="ENUM_08"/>
    <s v="yes"/>
    <s v="35_44"/>
    <s v="woman"/>
    <n v="3"/>
    <s v="no"/>
    <s v="yes"/>
    <d v="2025-04-18T00:00:00"/>
    <s v="leadership"/>
    <n v="4"/>
    <n v="2"/>
    <n v="4"/>
    <s v="yes"/>
    <n v="4"/>
    <s v="no"/>
    <s v=""/>
    <s v="More time for questions and practice would improve the training."/>
    <n v="29.6"/>
    <x v="1"/>
    <x v="0"/>
    <s v="Leadership"/>
    <s v="UNMAPPED"/>
  </r>
  <r>
    <s v="SUB-0315"/>
    <s v="SYN-0315"/>
    <s v="yes"/>
    <s v="1.0.0"/>
    <s v="ROUND_2"/>
    <d v="2025-05-20T00:00:00"/>
    <d v="2025-02-24T00:00:00"/>
    <s v="EAST"/>
    <s v="E01"/>
    <s v="ENUM_07"/>
    <s v="yes"/>
    <s v="25_34"/>
    <s v="man"/>
    <n v="7"/>
    <s v="no"/>
    <s v="yes"/>
    <d v="2025-05-13T00:00:00"/>
    <s v="planning"/>
    <n v="4"/>
    <n v="2"/>
    <n v="3"/>
    <s v="yes"/>
    <n v="4"/>
    <s v="no"/>
    <s v=""/>
    <s v="A follow-up session on digital tools would be helpful."/>
    <n v="28.8"/>
    <x v="2"/>
    <x v="0"/>
    <s v="Planning"/>
    <s v="UNMAPPED"/>
  </r>
  <r>
    <s v="SUB-0283"/>
    <s v="SYN-0283"/>
    <s v="yes"/>
    <s v="1.0.0"/>
    <s v="ROUND_2"/>
    <d v="2025-04-27T00:00:00"/>
    <d v="2024-12-29T00:00:00"/>
    <s v="EAST"/>
    <s v="E01"/>
    <s v="ENUM_06"/>
    <s v="yes"/>
    <s v="25_34"/>
    <s v="woman"/>
    <n v="7"/>
    <s v="no"/>
    <s v="yes"/>
    <d v="2025-02-04T00:00:00"/>
    <s v="planning"/>
    <n v="5"/>
    <n v="3"/>
    <n v="4"/>
    <s v="yes"/>
    <n v="3"/>
    <s v="yes"/>
    <s v="community_meeting"/>
    <s v=""/>
    <n v="20.9"/>
    <x v="2"/>
    <x v="0"/>
    <s v="Planning"/>
    <s v="Community meeting"/>
  </r>
  <r>
    <s v="SUB-0061"/>
    <s v="SYN-0061"/>
    <s v="yes"/>
    <s v="1.0.0"/>
    <s v="ROUND_2"/>
    <d v="2025-08-28T00:00:00"/>
    <d v="2025-05-04T00:00:00"/>
    <s v="NORTH"/>
    <s v="N03"/>
    <s v="ENUM_04"/>
    <s v="yes"/>
    <s v="18_24"/>
    <s v="prefer_not"/>
    <n v="3"/>
    <s v="no"/>
    <s v="yes"/>
    <d v="2025-05-21T00:00:00"/>
    <s v="financial_skills"/>
    <n v="3"/>
    <n v="2"/>
    <n v="2"/>
    <s v="yes"/>
    <n v="5"/>
    <s v="no"/>
    <s v=""/>
    <s v=""/>
    <n v="26.1"/>
    <x v="0"/>
    <x v="0"/>
    <s v="Financial skills"/>
    <s v="UNMAPPED"/>
  </r>
  <r>
    <s v="SUB-0408"/>
    <s v="SYN-0408"/>
    <s v="yes"/>
    <s v="1.0.0"/>
    <s v="ROUND_2"/>
    <d v="2025-07-09T00:00:00"/>
    <d v="2025-02-15T00:00:00"/>
    <s v="NORTH"/>
    <s v="N01"/>
    <s v="ENUM_02"/>
    <s v="yes"/>
    <s v="25_34"/>
    <s v="man"/>
    <n v="6"/>
    <s v="no"/>
    <s v="yes"/>
    <d v="2025-05-05T00:00:00"/>
    <s v="financial_skills"/>
    <n v="4"/>
    <n v="1"/>
    <n v="3"/>
    <s v="yes"/>
    <n v="3"/>
    <s v="yes"/>
    <s v="radio"/>
    <s v="I have already used one of the planning tools from the session."/>
    <n v="13.8"/>
    <x v="0"/>
    <x v="0"/>
    <s v="Financial skills"/>
    <s v="Radio"/>
  </r>
  <r>
    <s v="SUB-0380"/>
    <s v="SYN-0380"/>
    <s v="yes"/>
    <s v="1.0.0"/>
    <s v="ROUND_1"/>
    <d v="2025-09-25T00:00:00"/>
    <d v="2025-07-13T00:00:00"/>
    <s v="SOUTH"/>
    <s v="S01"/>
    <s v="ENUM_04"/>
    <s v="yes"/>
    <s v="45_54"/>
    <s v="man"/>
    <n v="4"/>
    <s v="yes"/>
    <s v="no"/>
    <m/>
    <s v=""/>
    <m/>
    <m/>
    <m/>
    <s v=""/>
    <n v="4"/>
    <s v="no"/>
    <s v=""/>
    <s v=""/>
    <n v="25.8"/>
    <x v="4"/>
    <x v="1"/>
    <s v="UNMAPPED"/>
    <s v="UNMAPPED"/>
  </r>
  <r>
    <s v="SUB-0033"/>
    <s v="SYN-0033"/>
    <s v="yes"/>
    <s v="1.0.0"/>
    <s v="ROUND_2"/>
    <d v="2025-05-04T00:00:00"/>
    <d v="2025-01-16T00:00:00"/>
    <s v="WEST"/>
    <s v="W03"/>
    <s v="ENUM_05"/>
    <s v="yes"/>
    <s v="25_34"/>
    <s v="woman"/>
    <n v="4"/>
    <s v="yes"/>
    <s v="no"/>
    <d v="2025-05-04T00:00:00"/>
    <s v="digital_skills"/>
    <n v="4"/>
    <n v="2"/>
    <n v="4"/>
    <s v="yes"/>
    <n v="2"/>
    <s v="no"/>
    <s v=""/>
    <s v=""/>
    <n v="17.5"/>
    <x v="1"/>
    <x v="0"/>
    <s v="Digital skills"/>
    <s v="UNMAPPED"/>
  </r>
  <r>
    <s v="SUB-0322"/>
    <s v="SYN-0322"/>
    <s v="yes"/>
    <s v="1.0.0"/>
    <s v="ROUND_1"/>
    <d v="2025-06-03T00:00:00"/>
    <d v="2025-01-15T00:00:00"/>
    <s v="EAST"/>
    <s v="E02"/>
    <s v="ENUM_05"/>
    <s v="yes"/>
    <s v="45_54"/>
    <s v="man"/>
    <n v="4"/>
    <s v="no"/>
    <s v="no"/>
    <m/>
    <s v=""/>
    <m/>
    <m/>
    <m/>
    <s v=""/>
    <n v="5"/>
    <s v="yes"/>
    <s v="printed_material"/>
    <s v=""/>
    <n v="7.1"/>
    <x v="2"/>
    <x v="1"/>
    <s v="UNMAPPED"/>
    <s v="Printed material"/>
  </r>
  <r>
    <s v="SUB-0341"/>
    <s v="SYN-0341"/>
    <s v="yes"/>
    <s v="1.0.0"/>
    <s v="ROUND_2"/>
    <d v="2025-08-23T00:00:00"/>
    <d v="2025-04-07T00:00:00"/>
    <s v="NORTH"/>
    <s v="N03"/>
    <s v="ENUM_08"/>
    <s v="yes"/>
    <s v="35_44"/>
    <s v="woman"/>
    <n v="45"/>
    <s v="no"/>
    <s v="yes"/>
    <d v="2025-08-04T00:00:00"/>
    <s v="financial_skills"/>
    <n v="4"/>
    <n v="1"/>
    <n v="2"/>
    <s v="yes"/>
    <n v="4"/>
    <s v="yes"/>
    <s v="printed_material"/>
    <s v=""/>
    <n v="11.5"/>
    <x v="0"/>
    <x v="0"/>
    <s v="Financial skills"/>
    <s v="Printed material"/>
  </r>
  <r>
    <s v="SUB-0390"/>
    <s v="SYN-0390"/>
    <s v="yes"/>
    <s v="1.0.0"/>
    <s v="ROUND_2"/>
    <d v="2025-06-27T00:00:00"/>
    <d v="2025-05-17T00:00:00"/>
    <s v="NORTH"/>
    <s v="N01"/>
    <s v="ENUM_06"/>
    <s v="yes"/>
    <s v="45_54"/>
    <s v="man"/>
    <n v="6"/>
    <s v="no"/>
    <s v="no"/>
    <m/>
    <s v=""/>
    <m/>
    <m/>
    <m/>
    <s v=""/>
    <n v="5"/>
    <s v="no"/>
    <s v=""/>
    <s v=""/>
    <n v="11.4"/>
    <x v="0"/>
    <x v="0"/>
    <s v="UNMAPPED"/>
    <s v="UNMAPPED"/>
  </r>
  <r>
    <s v="SUB-0040"/>
    <s v="SYN-0040"/>
    <s v="yes"/>
    <s v="1.0.0"/>
    <s v="ROUND_1"/>
    <d v="2025-06-06T00:00:00"/>
    <d v="2025-03-29T00:00:00"/>
    <s v="EAST"/>
    <s v="E03"/>
    <s v="ENUM_04"/>
    <s v="yes"/>
    <s v="18_24"/>
    <s v="man"/>
    <n v="3"/>
    <s v="no"/>
    <s v="yes"/>
    <d v="2025-04-03T00:00:00"/>
    <s v="digital_skills"/>
    <n v="4"/>
    <n v="2"/>
    <n v="4"/>
    <s v="yes"/>
    <n v="5"/>
    <s v="no"/>
    <s v=""/>
    <s v=""/>
    <n v="15.5"/>
    <x v="2"/>
    <x v="1"/>
    <s v="Digital skills"/>
    <s v="UNMAPPED"/>
  </r>
  <r>
    <s v="SUB-0023"/>
    <s v="SYN-0023"/>
    <s v="yes"/>
    <s v="1.0.0"/>
    <s v="ROUND_1"/>
    <d v="2025-06-16T00:00:00"/>
    <d v="2025-03-18T00:00:00"/>
    <s v="SOUTH"/>
    <s v="S02"/>
    <s v="ENUM_03"/>
    <s v="yes"/>
    <s v="35_44"/>
    <s v="non_binary"/>
    <n v="7"/>
    <s v="yes"/>
    <s v="no"/>
    <m/>
    <s v=""/>
    <m/>
    <m/>
    <m/>
    <s v=""/>
    <n v="5"/>
    <s v="no"/>
    <s v=""/>
    <s v=""/>
    <n v="4"/>
    <x v="4"/>
    <x v="1"/>
    <s v="UNMAPPED"/>
    <s v="UNMAPPED"/>
  </r>
  <r>
    <s v="SUB-0114"/>
    <s v="SYN-0114"/>
    <s v="yes"/>
    <s v="1.0.0"/>
    <s v="ROUND_1"/>
    <d v="2025-09-08T00:00:00"/>
    <d v="2025-07-15T00:00:00"/>
    <s v="NORTH"/>
    <s v="N03"/>
    <s v="ENUM_06"/>
    <s v="yes"/>
    <s v="35_44"/>
    <s v="woman"/>
    <n v="7"/>
    <s v="no"/>
    <s v="yes"/>
    <d v="2025-08-10T00:00:00"/>
    <s v="digital_skills"/>
    <n v="3"/>
    <n v="4"/>
    <n v="5"/>
    <s v="no"/>
    <n v="5"/>
    <s v="no"/>
    <s v=""/>
    <s v=""/>
    <n v="23.7"/>
    <x v="0"/>
    <x v="1"/>
    <s v="Digital skills"/>
    <s v="UNMAPPED"/>
  </r>
  <r>
    <s v="SUB-0358"/>
    <s v="SYN-0358"/>
    <s v="yes"/>
    <s v="1.0.0"/>
    <s v="ROUND_2"/>
    <d v="2025-04-24T00:00:00"/>
    <d v="2025-03-19T00:00:00"/>
    <s v="SOUTH"/>
    <s v=""/>
    <s v="ENUM_02"/>
    <s v="yes"/>
    <s v="25_34"/>
    <s v="woman"/>
    <n v="7"/>
    <s v="no"/>
    <s v="yes"/>
    <d v="2025-03-22T00:00:00"/>
    <s v="digital_skills"/>
    <n v="4"/>
    <n v="3"/>
    <n v="4"/>
    <s v="yes"/>
    <n v="3"/>
    <s v="yes"/>
    <s v="printed_material"/>
    <s v="The group activities helped me learn from other participants."/>
    <n v="14.3"/>
    <x v="4"/>
    <x v="0"/>
    <s v="Digital skills"/>
    <s v="Printed material"/>
  </r>
  <r>
    <s v="SUB-0059"/>
    <s v="SYN-0059"/>
    <s v="yes"/>
    <s v="1.0.0"/>
    <s v="ROUND_1"/>
    <d v="2025-05-09T00:00:00"/>
    <d v="2025-02-03T00:00:00"/>
    <s v="EAST"/>
    <s v="E03"/>
    <s v="ENUM_05"/>
    <s v="yes"/>
    <s v="25_34"/>
    <s v="woman"/>
    <n v="7"/>
    <s v="yes"/>
    <s v="yes"/>
    <d v="2025-04-10T00:00:00"/>
    <s v="planning"/>
    <n v="4"/>
    <n v="4"/>
    <n v="4"/>
    <s v="yes"/>
    <n v="4"/>
    <s v="no"/>
    <s v=""/>
    <s v=""/>
    <n v="17.399999999999999"/>
    <x v="2"/>
    <x v="1"/>
    <s v="Planning"/>
    <s v="UNMAPPED"/>
  </r>
  <r>
    <s v="SUB-DUP-008"/>
    <s v="SYN-0296"/>
    <s v="yes"/>
    <s v="1.0.0"/>
    <s v="ROUND_2"/>
    <d v="2025-06-05T00:00:00"/>
    <d v="2025-01-22T00:00:00"/>
    <s v="EAST"/>
    <s v="E01"/>
    <s v="ENUM_02"/>
    <s v="yes"/>
    <s v="25_34"/>
    <s v="woman"/>
    <n v="10"/>
    <s v="no"/>
    <s v="yes"/>
    <d v="2025-03-04T00:00:00"/>
    <s v="planning"/>
    <n v="4"/>
    <n v="1"/>
    <n v="3"/>
    <s v="yes"/>
    <n v="4"/>
    <s v="no"/>
    <s v=""/>
    <s v=""/>
    <n v="25.6"/>
    <x v="2"/>
    <x v="0"/>
    <s v="Planning"/>
    <s v="UNMAPPED"/>
  </r>
  <r>
    <s v="SUB-0173"/>
    <s v="SYN-0173"/>
    <s v="yes"/>
    <s v="1.0.0"/>
    <s v="ROUND_2"/>
    <d v="2025-08-31T00:00:00"/>
    <d v="2025-04-28T00:00:00"/>
    <s v="WEST"/>
    <s v="W01"/>
    <s v="ENUM_05"/>
    <s v="yes"/>
    <s v="18_24"/>
    <s v="man"/>
    <n v="6"/>
    <s v="no"/>
    <s v="no"/>
    <m/>
    <s v=""/>
    <m/>
    <m/>
    <m/>
    <s v=""/>
    <n v="4"/>
    <s v="yes"/>
    <s v="radio"/>
    <s v=""/>
    <n v="18.8"/>
    <x v="1"/>
    <x v="0"/>
    <s v="UNMAPPED"/>
    <s v="Radio"/>
  </r>
  <r>
    <s v="SUB-0310"/>
    <s v="SYN-0310"/>
    <s v="yes"/>
    <s v="1.0.0"/>
    <s v="ROUND_2"/>
    <d v="2025-09-30T00:00:00"/>
    <d v="2025-07-15T00:00:00"/>
    <s v="NORTH"/>
    <s v="N01"/>
    <s v="ENUM_08"/>
    <s v="yes"/>
    <s v="35_44"/>
    <s v="prefer_not"/>
    <n v="5"/>
    <s v="yes"/>
    <s v="yes"/>
    <d v="2025-09-27T00:00:00"/>
    <s v="digital_skills"/>
    <n v="3"/>
    <n v="2"/>
    <n v="4"/>
    <s v="yes"/>
    <n v="5"/>
    <s v="no"/>
    <s v=""/>
    <s v=""/>
    <n v="13.1"/>
    <x v="0"/>
    <x v="0"/>
    <s v="Digital skills"/>
    <s v="UNMAPPED"/>
  </r>
  <r>
    <s v="SUB-0054"/>
    <s v="SYN-0054"/>
    <s v="yes"/>
    <s v="1.0.0"/>
    <s v="ROUND_1"/>
    <d v="2025-07-12T00:00:00"/>
    <d v="2025-03-11T00:00:00"/>
    <s v="WEST"/>
    <s v="W03"/>
    <s v="ENUM_07"/>
    <s v="yes"/>
    <s v="55_plus"/>
    <s v="woman"/>
    <n v="4"/>
    <s v="no"/>
    <s v="yes"/>
    <d v="2025-06-17T00:00:00"/>
    <s v="leadership"/>
    <n v="4"/>
    <n v="2"/>
    <n v="2"/>
    <s v="yes"/>
    <n v="2"/>
    <s v="no"/>
    <s v=""/>
    <s v=""/>
    <n v="19.2"/>
    <x v="1"/>
    <x v="1"/>
    <s v="Leadership"/>
    <s v="UNMAPPED"/>
  </r>
  <r>
    <s v="SUB-0095"/>
    <s v="SYN-0095"/>
    <s v="yes"/>
    <s v="1.0.0"/>
    <s v="ROUND_2"/>
    <d v="2025-05-03T00:00:00"/>
    <d v="2024-12-28T00:00:00"/>
    <s v="EAST"/>
    <s v="E01"/>
    <s v="ENUM_08"/>
    <s v="yes"/>
    <s v="55_plus"/>
    <s v="woman"/>
    <n v="6"/>
    <s v="no"/>
    <s v="yes"/>
    <d v="2025-03-13T00:00:00"/>
    <s v="digital_skills"/>
    <n v="4"/>
    <n v="3"/>
    <n v="4"/>
    <s v="yes"/>
    <n v="2"/>
    <s v="no"/>
    <s v=""/>
    <s v="I would like more examples about budgeting and record keeping."/>
    <n v="18.899999999999999"/>
    <x v="2"/>
    <x v="0"/>
    <s v="Digital skills"/>
    <s v="UNMAPPED"/>
  </r>
  <r>
    <s v="SUB-0041"/>
    <s v="SYN-0041"/>
    <s v="yes"/>
    <s v="1.0.0"/>
    <s v="ROUND_2"/>
    <d v="2025-08-08T00:00:00"/>
    <d v="2025-05-13T00:00:00"/>
    <s v="EAST"/>
    <s v="E03"/>
    <s v="ENUM_06"/>
    <s v="yes"/>
    <s v="55_plus"/>
    <s v="man"/>
    <n v="7"/>
    <s v="no"/>
    <s v="yes"/>
    <d v="2025-07-13T00:00:00"/>
    <s v="planning"/>
    <n v="4"/>
    <n v="1"/>
    <n v="3"/>
    <s v="yes"/>
    <n v="5"/>
    <s v="no"/>
    <s v=""/>
    <s v="The facilitator explained the topic clearly and respectfully."/>
    <n v="17.8"/>
    <x v="2"/>
    <x v="0"/>
    <s v="Planning"/>
    <s v="UNMAPPED"/>
  </r>
  <r>
    <s v="SUB-0357"/>
    <s v="SYN-0357"/>
    <s v="yes"/>
    <s v="1.0.0"/>
    <s v="ROUND_2"/>
    <d v="2025-07-15T00:00:00"/>
    <d v="2025-06-14T00:00:00"/>
    <s v="EAST"/>
    <s v="E03"/>
    <s v="ENUM_04"/>
    <s v="yes"/>
    <s v="35_44"/>
    <s v="man"/>
    <n v="3"/>
    <s v="no"/>
    <s v="yes"/>
    <d v="2025-06-24T00:00:00"/>
    <s v="digital_skills"/>
    <n v="4"/>
    <n v="4"/>
    <n v="4"/>
    <s v="no"/>
    <n v="4"/>
    <s v="no"/>
    <s v=""/>
    <s v=""/>
    <n v="20.100000000000001"/>
    <x v="2"/>
    <x v="0"/>
    <s v="Digital skills"/>
    <s v="UNMAPPED"/>
  </r>
  <r>
    <s v="SUB-0343"/>
    <s v="SYN-0343"/>
    <s v="yes"/>
    <s v="1.0.0"/>
    <s v="ROUND_2"/>
    <d v="2025-06-30T00:00:00"/>
    <d v="2025-02-10T00:00:00"/>
    <s v="EAST"/>
    <s v="E01"/>
    <s v="ENUM_04"/>
    <s v="yes"/>
    <s v="18_24"/>
    <s v="woman"/>
    <n v="5"/>
    <s v="no"/>
    <s v="yes"/>
    <d v="2025-05-28T00:00:00"/>
    <s v="financial_skills"/>
    <n v="4"/>
    <n v="4"/>
    <n v="5"/>
    <s v="no"/>
    <n v="4"/>
    <s v="no"/>
    <s v=""/>
    <s v="Printed materials would help people who cannot attend every session."/>
    <n v="19.2"/>
    <x v="2"/>
    <x v="0"/>
    <s v="Financial skills"/>
    <s v="UNMAPPED"/>
  </r>
  <r>
    <s v="SUB-0181"/>
    <s v="SYN-0181"/>
    <s v="yes"/>
    <s v="1.0.0"/>
    <s v="ROUND_1"/>
    <d v="2025-05-09T00:00:00"/>
    <d v="2025-04-03T00:00:00"/>
    <s v="EAST"/>
    <s v="E02"/>
    <s v="ENUM_03"/>
    <s v="yes"/>
    <s v="25_34"/>
    <s v="woman"/>
    <n v="4"/>
    <s v="no"/>
    <s v="yes"/>
    <d v="2025-04-28T00:00:00"/>
    <s v="financial_skills"/>
    <n v="4"/>
    <n v="3"/>
    <n v="4"/>
    <s v="no"/>
    <n v="1"/>
    <s v="yes"/>
    <s v="radio"/>
    <s v=""/>
    <n v="24.9"/>
    <x v="2"/>
    <x v="1"/>
    <s v="Financial skills"/>
    <s v="Radio"/>
  </r>
  <r>
    <s v="SUB-0320"/>
    <s v="SYN-0320"/>
    <s v="yes"/>
    <s v="1.0.0"/>
    <s v="ROUND_1"/>
    <d v="2025-08-04T00:00:00"/>
    <d v="2025-05-19T00:00:00"/>
    <s v="SOUTH"/>
    <s v="S03"/>
    <s v="ENUM_04"/>
    <s v="yes"/>
    <s v="25_34"/>
    <s v="man"/>
    <n v="4"/>
    <s v="no"/>
    <s v="yes"/>
    <d v="2025-07-26T00:00:00"/>
    <s v="financial_skills"/>
    <n v="3"/>
    <n v="3"/>
    <n v="4"/>
    <s v="yes"/>
    <n v="4"/>
    <s v="no"/>
    <s v=""/>
    <s v=""/>
    <n v="16.899999999999999"/>
    <x v="4"/>
    <x v="1"/>
    <s v="Financial skills"/>
    <s v="UNMAPPED"/>
  </r>
  <r>
    <s v="SUB-0132"/>
    <s v="SYN-0132"/>
    <s v="yes"/>
    <s v="1.0.0"/>
    <s v="ROUND_2"/>
    <d v="2025-07-09T00:00:00"/>
    <d v="2025-05-26T00:00:00"/>
    <s v="NORTH"/>
    <s v="N01"/>
    <s v="ENUM_02"/>
    <s v="yes"/>
    <s v="25_34"/>
    <s v="man"/>
    <n v="4"/>
    <s v="yes"/>
    <s v="yes"/>
    <d v="2025-06-15T00:00:00"/>
    <s v="financial_skills"/>
    <n v="4"/>
    <n v="4"/>
    <n v="4"/>
    <s v="yes"/>
    <n v="4"/>
    <s v="yes"/>
    <s v="community_meeting"/>
    <s v=""/>
    <n v="13.4"/>
    <x v="0"/>
    <x v="0"/>
    <s v="Financial skills"/>
    <s v="Community meeting"/>
  </r>
  <r>
    <s v="SUB-0015"/>
    <s v="SYN-0015"/>
    <s v="yes"/>
    <s v="1.0.0"/>
    <s v="ROUND_2"/>
    <d v="2025-08-17T00:00:00"/>
    <d v="2025-05-04T00:00:00"/>
    <s v="NORTH"/>
    <s v="N02"/>
    <s v="ENUM_02"/>
    <s v="yes"/>
    <s v="25_34"/>
    <s v="woman"/>
    <n v="6"/>
    <s v="no"/>
    <s v="yes"/>
    <d v="2025-07-29T00:00:00"/>
    <s v="planning"/>
    <n v="3"/>
    <n v="1"/>
    <n v="3"/>
    <s v="yes"/>
    <n v="4"/>
    <s v="no"/>
    <s v=""/>
    <s v=""/>
    <n v="21.4"/>
    <x v="0"/>
    <x v="0"/>
    <s v="Planning"/>
    <s v="UNMAPPED"/>
  </r>
  <r>
    <s v="SUB-0248"/>
    <s v="SYN-0248"/>
    <s v="yes"/>
    <s v="1.0.0"/>
    <s v="ROUND_2"/>
    <d v="2025-07-16T00:00:00"/>
    <d v="2025-05-01T00:00:00"/>
    <s v="WEST"/>
    <s v="W03"/>
    <s v="ENUM_06"/>
    <s v="yes"/>
    <s v="25_34"/>
    <s v="woman"/>
    <n v="2"/>
    <s v="no"/>
    <s v="yes"/>
    <d v="2025-06-25T00:00:00"/>
    <s v="digital_skills"/>
    <n v="2"/>
    <n v="2"/>
    <n v="4"/>
    <s v="yes"/>
    <n v="4"/>
    <s v="no"/>
    <s v=""/>
    <s v=""/>
    <n v="16.899999999999999"/>
    <x v="1"/>
    <x v="0"/>
    <s v="Digital skills"/>
    <s v="UNMAPPED"/>
  </r>
  <r>
    <s v="SUB-0406"/>
    <s v="SYN-0406"/>
    <s v="yes"/>
    <s v="1.0.0"/>
    <s v="ROUND_1"/>
    <d v="2025-06-20T00:00:00"/>
    <d v="2025-02-16T00:00:00"/>
    <s v="EAST"/>
    <s v="E02"/>
    <s v="ENUM_07"/>
    <s v="yes"/>
    <s v="25_34"/>
    <s v="man"/>
    <n v="4"/>
    <s v="no"/>
    <s v="yes"/>
    <d v="2025-03-11T00:00:00"/>
    <s v="planning"/>
    <n v="1"/>
    <n v="4"/>
    <n v="5"/>
    <s v="yes"/>
    <n v="4"/>
    <s v="no"/>
    <s v=""/>
    <s v=""/>
    <n v="20.399999999999999"/>
    <x v="2"/>
    <x v="1"/>
    <s v="Planning"/>
    <s v="UNMAPPED"/>
  </r>
  <r>
    <s v="SUB-DUP-005"/>
    <s v="SYN-0206"/>
    <s v="yes"/>
    <s v="1.0.0"/>
    <s v="ROUND_2"/>
    <d v="2025-09-25T00:00:00"/>
    <d v="2025-05-24T00:00:00"/>
    <s v="EAST"/>
    <s v="E03"/>
    <s v="ENUM_03"/>
    <s v="yes"/>
    <s v="45_54"/>
    <s v="woman"/>
    <n v="5"/>
    <s v="no"/>
    <s v="yes"/>
    <d v="2025-05-27T00:00:00"/>
    <s v="financial_skills"/>
    <n v="5"/>
    <n v="3"/>
    <n v="5"/>
    <s v="yes"/>
    <n v="4"/>
    <s v="no"/>
    <s v=""/>
    <s v="I would like more examples about budgeting and record keeping."/>
    <n v="15.6"/>
    <x v="2"/>
    <x v="0"/>
    <s v="Financial skills"/>
    <s v="UNMAPPED"/>
  </r>
  <r>
    <s v="SUB-0146"/>
    <s v="SYN-0146"/>
    <s v="yes"/>
    <s v="1.0.0"/>
    <s v="ROUND_2"/>
    <d v="2025-09-20T00:00:00"/>
    <d v="2025-06-12T00:00:00"/>
    <s v="EAST"/>
    <s v="E02"/>
    <s v="ENUM_06"/>
    <s v="yes"/>
    <s v="under_18"/>
    <s v="man"/>
    <n v="7"/>
    <s v="no"/>
    <s v="yes"/>
    <d v="2025-07-15T00:00:00"/>
    <s v="financial_skills"/>
    <n v="4"/>
    <n v="3"/>
    <n v="3"/>
    <s v="no"/>
    <n v="2"/>
    <s v="no"/>
    <s v=""/>
    <s v=""/>
    <n v="11.2"/>
    <x v="2"/>
    <x v="0"/>
    <s v="Financial skills"/>
    <s v="UNMAPPED"/>
  </r>
  <r>
    <s v="SUB-0208"/>
    <s v="SYN-0208"/>
    <s v="yes"/>
    <s v="1.0.0"/>
    <s v="ROUND_1"/>
    <d v="2025-05-13T00:00:00"/>
    <d v="2024-12-28T00:00:00"/>
    <s v="WEST"/>
    <s v="W03"/>
    <s v="ENUM_02"/>
    <s v="yes"/>
    <s v="25_34"/>
    <s v="man"/>
    <n v="4"/>
    <s v="yes"/>
    <s v="yes"/>
    <d v="2025-02-15T00:00:00"/>
    <s v="financial_skills"/>
    <n v="2"/>
    <n v="2"/>
    <n v="3"/>
    <s v="yes"/>
    <n v="3"/>
    <s v="no"/>
    <s v=""/>
    <s v=""/>
    <n v="15.7"/>
    <x v="1"/>
    <x v="1"/>
    <s v="Financial skills"/>
    <s v="UNMAPPED"/>
  </r>
  <r>
    <s v="SUB-0368"/>
    <s v="SYN-0368"/>
    <s v="yes"/>
    <s v="1.0.0"/>
    <s v="ROUND_1"/>
    <d v="2025-09-11T00:00:00"/>
    <d v="2025-07-02T00:00:00"/>
    <s v="WEST"/>
    <s v="W01"/>
    <s v="ENUM_03"/>
    <s v="yes"/>
    <s v="35_44"/>
    <s v="woman"/>
    <n v="7"/>
    <s v="no"/>
    <s v="yes"/>
    <d v="2025-08-31T00:00:00"/>
    <s v="digital_skills"/>
    <n v="1"/>
    <n v="3"/>
    <n v="4"/>
    <s v="yes"/>
    <n v="3"/>
    <s v="yes"/>
    <s v="community_meeting"/>
    <s v="The group activities helped me learn from other participants."/>
    <n v="14.4"/>
    <x v="1"/>
    <x v="1"/>
    <s v="Digital skills"/>
    <s v="Community meeting"/>
  </r>
  <r>
    <s v="SUB-0082"/>
    <s v="SYN-0082"/>
    <s v="yes"/>
    <s v="1.0.0"/>
    <s v="ROUND_2"/>
    <d v="2025-08-28T00:00:00"/>
    <d v="2025-07-13T00:00:00"/>
    <s v="SOUTH"/>
    <s v="S03"/>
    <s v="ENUM_08"/>
    <s v="yes"/>
    <s v="45_54"/>
    <s v="woman"/>
    <n v="5"/>
    <s v="no"/>
    <s v="no"/>
    <m/>
    <s v=""/>
    <m/>
    <m/>
    <m/>
    <s v=""/>
    <n v="3"/>
    <s v="no"/>
    <s v=""/>
    <s v=""/>
    <n v="20.6"/>
    <x v="4"/>
    <x v="0"/>
    <s v="UNMAPPED"/>
    <s v="UNMAPPED"/>
  </r>
  <r>
    <s v="SUB-0388"/>
    <s v="SYN-0388"/>
    <s v="yes"/>
    <s v="1.0.0"/>
    <s v="ROUND_2"/>
    <d v="2025-05-11T00:00:00"/>
    <d v="2025-01-29T00:00:00"/>
    <s v="NORTH"/>
    <s v="X99"/>
    <s v="ENUM_03"/>
    <s v="yes"/>
    <s v="35_44"/>
    <s v="woman"/>
    <n v="8"/>
    <s v="no"/>
    <s v="yes"/>
    <d v="2025-02-22T00:00:00"/>
    <s v="digital_skills"/>
    <n v="4"/>
    <n v="4"/>
    <n v="5"/>
    <s v="no"/>
    <n v="4"/>
    <s v="yes"/>
    <s v="radio"/>
    <s v=""/>
    <n v="13.5"/>
    <x v="0"/>
    <x v="0"/>
    <s v="Digital skills"/>
    <s v="Radio"/>
  </r>
  <r>
    <s v="SUB-0172"/>
    <s v="SYN-0172"/>
    <s v="yes"/>
    <s v="1.0.0"/>
    <s v="ROUND_2"/>
    <d v="2025-04-08T00:00:00"/>
    <d v="2024-11-10T00:00:00"/>
    <s v="NORTH"/>
    <s v="N01"/>
    <s v="ENUM_03"/>
    <s v="yes"/>
    <s v="45_54"/>
    <s v="woman"/>
    <n v="2"/>
    <s v="no"/>
    <s v="yes"/>
    <d v="2025-03-08T00:00:00"/>
    <s v="leadership"/>
    <n v="5"/>
    <n v="3"/>
    <n v="4"/>
    <s v="no"/>
    <n v="4"/>
    <s v="no"/>
    <s v=""/>
    <s v="The group activities helped me learn from other participants."/>
    <n v="10.3"/>
    <x v="0"/>
    <x v="0"/>
    <s v="Leadership"/>
    <s v="UNMAPPED"/>
  </r>
  <r>
    <s v="SUB-0076"/>
    <s v="SYN-0076"/>
    <s v="yes"/>
    <s v="1.0.0"/>
    <s v="ROUND_2"/>
    <d v="2025-05-17T00:00:00"/>
    <d v="2025-01-09T00:00:00"/>
    <s v="EAST"/>
    <s v="E02"/>
    <s v="ENUM_07"/>
    <s v="yes"/>
    <s v="35_44"/>
    <s v="woman"/>
    <n v="5"/>
    <s v="no"/>
    <s v="yes"/>
    <d v="2025-05-14T00:00:00"/>
    <s v="digital_skills"/>
    <n v="4"/>
    <n v="1"/>
    <n v="3"/>
    <s v="yes"/>
    <n v="1"/>
    <s v="no"/>
    <s v=""/>
    <s v=""/>
    <n v="24.5"/>
    <x v="2"/>
    <x v="0"/>
    <s v="Digital skills"/>
    <s v="UNMAPPED"/>
  </r>
  <r>
    <s v="SUB-0385"/>
    <s v="SYN-0385"/>
    <s v="yes"/>
    <s v="1.0.0"/>
    <s v="ROUND_1"/>
    <d v="2025-07-26T00:00:00"/>
    <d v="2025-04-01T00:00:00"/>
    <s v="SOUTH"/>
    <s v="S03"/>
    <s v="ENUM_01"/>
    <s v="yes"/>
    <s v="45_54"/>
    <s v="woman"/>
    <n v="4"/>
    <s v="no"/>
    <s v="yes"/>
    <d v="2025-06-12T00:00:00"/>
    <s v="financial_skills"/>
    <n v="4"/>
    <n v="1"/>
    <n v="2"/>
    <s v="no"/>
    <n v="4"/>
    <s v="yes"/>
    <s v="community_meeting"/>
    <s v=""/>
    <n v="16.899999999999999"/>
    <x v="4"/>
    <x v="1"/>
    <s v="Financial skills"/>
    <s v="Community meeting"/>
  </r>
  <r>
    <s v="SUB-0102"/>
    <s v="SYN-0102"/>
    <s v="yes"/>
    <s v="1.0.0"/>
    <s v="ROUND_1"/>
    <d v="2025-05-07T00:00:00"/>
    <d v="2025-03-18T00:00:00"/>
    <s v="EAST"/>
    <s v="E03"/>
    <s v="ENUM_02"/>
    <s v="yes"/>
    <s v="35_44"/>
    <s v="woman"/>
    <n v="5"/>
    <s v="no"/>
    <s v="yes"/>
    <d v="2025-03-29T00:00:00"/>
    <s v="financial_skills"/>
    <n v="4"/>
    <n v="2"/>
    <n v="2"/>
    <s v="yes"/>
    <n v="4"/>
    <s v="no"/>
    <s v=""/>
    <s v=""/>
    <n v="20.3"/>
    <x v="2"/>
    <x v="1"/>
    <s v="Financial skills"/>
    <s v="UNMAPPED"/>
  </r>
  <r>
    <s v="SUB-0048"/>
    <s v="SYN-0048"/>
    <s v="yes"/>
    <s v="1.0.0"/>
    <s v="ROUND_1"/>
    <d v="2025-06-27T00:00:00"/>
    <d v="2025-05-07T00:00:00"/>
    <s v="SOUTH"/>
    <s v="S01"/>
    <s v="ENUM_03"/>
    <s v="yes"/>
    <s v="35_44"/>
    <s v="woman"/>
    <n v="9"/>
    <s v="no"/>
    <s v="no"/>
    <m/>
    <s v=""/>
    <m/>
    <m/>
    <m/>
    <s v=""/>
    <n v="3"/>
    <s v="no"/>
    <s v=""/>
    <s v=""/>
    <n v="7.8"/>
    <x v="4"/>
    <x v="1"/>
    <s v="UNMAPPED"/>
    <s v="UNMAPPED"/>
  </r>
  <r>
    <s v="SUB-0340"/>
    <s v="SYN-0340"/>
    <s v="yes"/>
    <s v="1.0.0"/>
    <s v="ROUND_2"/>
    <d v="2025-04-12T00:00:00"/>
    <d v="2025-02-08T00:00:00"/>
    <s v="WEST"/>
    <s v="W01"/>
    <s v="ENUM_08"/>
    <s v="yes"/>
    <s v="45_54"/>
    <s v="man"/>
    <n v="4"/>
    <s v="yes"/>
    <s v="yes"/>
    <d v="2025-03-17T00:00:00"/>
    <s v="planning"/>
    <n v="4"/>
    <n v="2"/>
    <n v="3"/>
    <s v="no"/>
    <n v="2"/>
    <s v="no"/>
    <s v="radio"/>
    <s v="I have already used one of the planning tools from the session."/>
    <n v="19.7"/>
    <x v="1"/>
    <x v="0"/>
    <s v="Planning"/>
    <s v="Radio"/>
  </r>
  <r>
    <s v="SUB-0405"/>
    <s v="SYN-0405"/>
    <s v="yes"/>
    <s v="1.0.0"/>
    <s v="ROUND_1"/>
    <d v="2025-06-07T00:00:00"/>
    <d v="2025-01-17T00:00:00"/>
    <s v="NORTH"/>
    <s v="N01"/>
    <s v="ENUM_03"/>
    <s v="yes"/>
    <s v="25_34"/>
    <s v="man"/>
    <n v="5"/>
    <s v="no"/>
    <s v="yes"/>
    <d v="2025-03-02T00:00:00"/>
    <s v="planning"/>
    <n v="2"/>
    <n v="4"/>
    <n v="4"/>
    <s v="yes"/>
    <n v="5"/>
    <s v="no"/>
    <s v=""/>
    <s v="The group activities helped me learn from other participants."/>
    <n v="4"/>
    <x v="0"/>
    <x v="1"/>
    <s v="Planning"/>
    <s v="UNMAPPED"/>
  </r>
  <r>
    <s v="SUB-0143"/>
    <s v="SYN-0143"/>
    <s v="yes"/>
    <s v="1.0.0"/>
    <s v="ROUND_2"/>
    <d v="2025-05-26T00:00:00"/>
    <d v="2025-01-13T00:00:00"/>
    <s v="EAST"/>
    <s v="E02"/>
    <s v="ENUM_04"/>
    <s v="yes"/>
    <s v="45_54"/>
    <s v="woman"/>
    <n v="7"/>
    <s v="yes"/>
    <s v="yes"/>
    <d v="2025-01-29T00:00:00"/>
    <s v="digital_skills"/>
    <n v="5"/>
    <n v="1"/>
    <n v="2"/>
    <s v="yes"/>
    <n v="2"/>
    <s v="no"/>
    <s v=""/>
    <s v=""/>
    <n v="15.5"/>
    <x v="2"/>
    <x v="0"/>
    <s v="Digital skills"/>
    <s v="UNMAPPED"/>
  </r>
  <r>
    <s v="SUB-DUP-010"/>
    <s v="SYN-0381"/>
    <s v="yes"/>
    <s v="1.0.0"/>
    <s v="ROUND_2"/>
    <d v="2025-09-16T00:00:00"/>
    <d v="2025-05-14T00:00:00"/>
    <s v="SOUTH"/>
    <s v="S01"/>
    <s v="ENUM_04"/>
    <s v="yes"/>
    <s v="25_34"/>
    <s v="man"/>
    <n v="3"/>
    <s v="no"/>
    <s v="no"/>
    <m/>
    <s v=""/>
    <m/>
    <m/>
    <m/>
    <s v=""/>
    <n v="3"/>
    <s v="no"/>
    <s v=""/>
    <s v=""/>
    <n v="14.6"/>
    <x v="4"/>
    <x v="0"/>
    <s v="UNMAPPED"/>
    <s v="UNMAPPED"/>
  </r>
  <r>
    <s v="SUB-0052"/>
    <s v="SYN-0052"/>
    <s v="yes"/>
    <s v="1.0.0"/>
    <s v="ROUND_1"/>
    <d v="2025-06-19T00:00:00"/>
    <d v="2025-04-26T00:00:00"/>
    <s v="SOUTH"/>
    <s v="S03"/>
    <s v="ENUM_06"/>
    <s v="yes"/>
    <s v="35_44"/>
    <s v="woman"/>
    <n v="8"/>
    <s v="no"/>
    <s v="no"/>
    <m/>
    <s v=""/>
    <m/>
    <m/>
    <m/>
    <s v=""/>
    <n v="2"/>
    <s v="no"/>
    <s v=""/>
    <s v=""/>
    <n v="22"/>
    <x v="4"/>
    <x v="1"/>
    <s v="UNMAPPED"/>
    <s v="UNMAPPED"/>
  </r>
  <r>
    <s v="SUB-0179"/>
    <s v="SYN-0179"/>
    <s v="yes"/>
    <s v="1.0.0"/>
    <s v="ROUND_2"/>
    <d v="2025-05-16T00:00:00"/>
    <d v="2024-12-24T00:00:00"/>
    <s v="WEST"/>
    <s v="W01"/>
    <s v="ENUM_08"/>
    <s v="yes"/>
    <s v="25_34"/>
    <s v="man"/>
    <n v="7"/>
    <s v="no"/>
    <s v="no"/>
    <m/>
    <s v=""/>
    <m/>
    <m/>
    <m/>
    <s v=""/>
    <n v="3"/>
    <s v="no"/>
    <s v=""/>
    <s v=""/>
    <n v="10.8"/>
    <x v="1"/>
    <x v="0"/>
    <s v="UNMAPPED"/>
    <s v="UNMAPPED"/>
  </r>
  <r>
    <s v="SUB-0409"/>
    <s v="SYN-0409"/>
    <s v="yes"/>
    <s v="1.0.0"/>
    <s v="ROUND_2"/>
    <d v="2025-08-04T00:00:00"/>
    <d v="2025-03-11T00:00:00"/>
    <s v="NORTH"/>
    <s v="N03"/>
    <s v="ENUM_01"/>
    <s v="yes"/>
    <s v="18_24"/>
    <s v="man"/>
    <n v="3"/>
    <s v="no"/>
    <s v="no"/>
    <m/>
    <s v=""/>
    <m/>
    <m/>
    <m/>
    <s v=""/>
    <n v="5"/>
    <s v="no"/>
    <s v=""/>
    <s v=""/>
    <n v="13.2"/>
    <x v="0"/>
    <x v="0"/>
    <s v="UNMAPPED"/>
    <s v="UNMAPPED"/>
  </r>
  <r>
    <s v="SUB-0046"/>
    <s v="SYN-0046"/>
    <s v="yes"/>
    <s v="1.0.0"/>
    <s v="ROUND_2"/>
    <d v="2025-05-05T00:00:00"/>
    <d v="2025-02-09T00:00:00"/>
    <s v="EAST"/>
    <s v="E01"/>
    <s v="ENUM_02"/>
    <s v="yes"/>
    <s v="35_44"/>
    <s v="woman"/>
    <n v="6"/>
    <s v="no"/>
    <s v="yes"/>
    <d v="2025-03-29T00:00:00"/>
    <s v="financial_skills"/>
    <n v="5"/>
    <n v="4"/>
    <n v="5"/>
    <s v="no"/>
    <n v="5"/>
    <s v="yes"/>
    <s v="community_meeting"/>
    <s v=""/>
    <n v="18.100000000000001"/>
    <x v="2"/>
    <x v="0"/>
    <s v="Financial skills"/>
    <s v="Community meeting"/>
  </r>
  <r>
    <s v="SUB-0246"/>
    <s v="SYN-0246"/>
    <s v="yes"/>
    <s v="1.0.0"/>
    <s v="ROUND_2"/>
    <d v="2025-06-13T00:00:00"/>
    <d v="2025-02-04T00:00:00"/>
    <s v="SOUTH"/>
    <s v="S03"/>
    <s v="ENUM_04"/>
    <s v="yes"/>
    <s v="18_24"/>
    <s v="man"/>
    <n v="1"/>
    <s v="no"/>
    <s v="yes"/>
    <d v="2025-04-21T00:00:00"/>
    <s v="digital_skills"/>
    <n v="4"/>
    <n v="3"/>
    <n v="4"/>
    <s v="yes"/>
    <n v="5"/>
    <s v="no"/>
    <s v=""/>
    <s v=""/>
    <n v="14.4"/>
    <x v="4"/>
    <x v="0"/>
    <s v="Digital skills"/>
    <s v="UNMAPPED"/>
  </r>
  <r>
    <s v="SUB-0167"/>
    <s v="SYN-0167"/>
    <s v="yes"/>
    <s v="1.0.0"/>
    <s v="ROUND_1"/>
    <d v="2025-08-15T00:00:00"/>
    <d v="2025-06-12T00:00:00"/>
    <s v="EAST"/>
    <s v="E03"/>
    <s v="ENUM_02"/>
    <s v="yes"/>
    <s v="25_34"/>
    <s v="woman"/>
    <n v="1"/>
    <s v="no"/>
    <s v="no"/>
    <m/>
    <s v=""/>
    <m/>
    <m/>
    <m/>
    <s v=""/>
    <n v="4"/>
    <s v="no"/>
    <s v=""/>
    <s v=""/>
    <n v="16"/>
    <x v="2"/>
    <x v="1"/>
    <s v="UNMAPPED"/>
    <s v="UNMAPPED"/>
  </r>
  <r>
    <s v="SUB-0291"/>
    <s v="SYN-0291"/>
    <s v="yes"/>
    <s v="1.0.0"/>
    <s v="ROUND_2"/>
    <d v="2025-05-25T00:00:00"/>
    <d v="2025-01-15T00:00:00"/>
    <s v="SOUTH"/>
    <s v="S03"/>
    <s v="ENUM_04"/>
    <s v="yes"/>
    <s v="45_54"/>
    <s v="woman"/>
    <n v="4"/>
    <s v="no"/>
    <s v="yes"/>
    <d v="2025-05-03T00:00:00"/>
    <s v="financial_skills"/>
    <n v="4"/>
    <n v="1"/>
    <n v="1"/>
    <s v="no"/>
    <n v="5"/>
    <s v="no"/>
    <s v=""/>
    <s v=""/>
    <n v="16.7"/>
    <x v="4"/>
    <x v="0"/>
    <s v="Financial skills"/>
    <s v="UNMAPPED"/>
  </r>
  <r>
    <s v="SUB-0306"/>
    <s v="SYN-0306"/>
    <s v="yes"/>
    <s v="1.0.0"/>
    <s v="ROUND_1"/>
    <d v="2025-09-07T00:00:00"/>
    <d v="2025-04-20T00:00:00"/>
    <s v="EAST"/>
    <s v="E02"/>
    <s v="ENUM_04"/>
    <s v="yes"/>
    <s v="55_plus"/>
    <s v="man"/>
    <n v="6"/>
    <s v="no"/>
    <s v="yes"/>
    <d v="2025-07-31T00:00:00"/>
    <s v="financial_skills"/>
    <n v="5"/>
    <n v="4"/>
    <n v="4"/>
    <s v="yes"/>
    <n v="4"/>
    <s v="no"/>
    <s v=""/>
    <s v=""/>
    <n v="18.100000000000001"/>
    <x v="2"/>
    <x v="1"/>
    <s v="Financial skills"/>
    <s v="UNMAPPED"/>
  </r>
  <r>
    <s v="SUB-0370"/>
    <s v="SYN-0370"/>
    <s v="yes"/>
    <s v="1.0.0"/>
    <s v="ROUND_2"/>
    <d v="2025-05-18T00:00:00"/>
    <d v="2025-04-07T00:00:00"/>
    <s v="WEST"/>
    <s v="W01"/>
    <s v="ENUM_07"/>
    <s v="yes"/>
    <s v="45_54"/>
    <s v="woman"/>
    <n v="6"/>
    <s v="no"/>
    <s v="yes"/>
    <d v="2025-04-19T00:00:00"/>
    <s v="planning"/>
    <n v="2"/>
    <n v="2"/>
    <n v="3"/>
    <s v="yes"/>
    <n v="4"/>
    <s v="no"/>
    <s v=""/>
    <s v="The group activities helped me learn from other participants."/>
    <n v="17.7"/>
    <x v="1"/>
    <x v="0"/>
    <s v="Planning"/>
    <s v="UNMAPPED"/>
  </r>
  <r>
    <s v="SUB-0363"/>
    <s v="SYN-0363"/>
    <s v="yes"/>
    <s v="1.0.0"/>
    <s v="ROUND_2"/>
    <d v="2025-05-29T00:00:00"/>
    <d v="2025-01-23T00:00:00"/>
    <s v="NORTH"/>
    <s v="N02"/>
    <s v="ENUM_04"/>
    <s v="yes"/>
    <s v="25_34"/>
    <s v="woman"/>
    <n v="6"/>
    <s v="no"/>
    <s v="yes"/>
    <d v="2025-04-26T00:00:00"/>
    <s v="digital_skills"/>
    <n v="4"/>
    <n v="2"/>
    <n v="4"/>
    <s v="yes"/>
    <n v="4"/>
    <s v="yes"/>
    <s v="radio"/>
    <s v=""/>
    <n v="29.3"/>
    <x v="0"/>
    <x v="0"/>
    <s v="Digital skills"/>
    <s v="Radio"/>
  </r>
  <r>
    <s v="SUB-0070"/>
    <s v="SYN-0070"/>
    <s v="yes"/>
    <s v="1.0.0"/>
    <s v="ROUND_2"/>
    <d v="2025-08-11T00:00:00"/>
    <d v="2025-03-18T00:00:00"/>
    <s v="WEST"/>
    <s v="W02"/>
    <s v="ENUM_04"/>
    <s v="yes"/>
    <s v="45_54"/>
    <s v="woman"/>
    <n v="7"/>
    <s v="no"/>
    <s v="yes"/>
    <d v="2025-06-08T00:00:00"/>
    <s v="leadership"/>
    <n v="3"/>
    <n v="3"/>
    <n v="3"/>
    <s v="no"/>
    <n v="2"/>
    <s v="yes"/>
    <s v="radio"/>
    <s v="Printed materials would help people who cannot attend every session."/>
    <n v="5.6"/>
    <x v="1"/>
    <x v="0"/>
    <s v="Leadership"/>
    <s v="Radio"/>
  </r>
  <r>
    <s v="SUB-0364"/>
    <s v="SYN-0364"/>
    <s v="yes"/>
    <s v="1.0.0"/>
    <s v="ROUND_1"/>
    <d v="2025-04-25T00:00:00"/>
    <d v="2024-12-13T00:00:00"/>
    <s v="SOUTH"/>
    <s v="S01"/>
    <s v="ENUM_04"/>
    <s v="yes"/>
    <s v="18_24"/>
    <s v="woman"/>
    <n v="4"/>
    <s v="no"/>
    <s v="yes"/>
    <d v="2024-12-17T00:00:00"/>
    <s v="leadership"/>
    <n v="4"/>
    <n v="1"/>
    <n v="1"/>
    <s v="yes"/>
    <n v="4"/>
    <s v="no"/>
    <s v=""/>
    <s v="A location closer to the community would improve attendance."/>
    <n v="18.7"/>
    <x v="4"/>
    <x v="1"/>
    <s v="Leadership"/>
    <s v="UNMAPPED"/>
  </r>
  <r>
    <s v="SUB-0400"/>
    <s v="SYN-0400"/>
    <s v="yes"/>
    <s v="1.0.0"/>
    <s v="ROUND_2"/>
    <d v="2025-05-08T00:00:00"/>
    <d v="2025-03-26T00:00:00"/>
    <s v="EAST"/>
    <s v="E02"/>
    <s v="ENUM_03"/>
    <s v="yes"/>
    <s v="35_44"/>
    <s v="man"/>
    <n v="2"/>
    <s v="no"/>
    <s v="yes"/>
    <d v="2025-05-02T00:00:00"/>
    <s v="planning"/>
    <n v="4"/>
    <n v="1"/>
    <n v="2"/>
    <s v="no"/>
    <n v="2"/>
    <s v="yes"/>
    <s v="radio"/>
    <s v=""/>
    <n v="11.4"/>
    <x v="2"/>
    <x v="0"/>
    <s v="Planning"/>
    <s v="Radio"/>
  </r>
  <r>
    <s v="SUB-0009"/>
    <s v="SYN-0009"/>
    <s v="yes"/>
    <s v="1.0.0"/>
    <s v="ROUND_1"/>
    <d v="2025-07-21T00:00:00"/>
    <d v="2025-06-06T00:00:00"/>
    <s v="SOUTH"/>
    <s v="S02"/>
    <s v="ENUM_04"/>
    <s v="yes"/>
    <s v="18_24"/>
    <s v="woman"/>
    <n v="3"/>
    <s v="no"/>
    <s v="yes"/>
    <d v="2024-12-15T00:00:00"/>
    <s v="planning"/>
    <n v="4"/>
    <n v="2"/>
    <n v="4"/>
    <s v="yes"/>
    <n v="4"/>
    <s v="yes"/>
    <s v="community_meeting"/>
    <s v=""/>
    <n v="11.6"/>
    <x v="4"/>
    <x v="1"/>
    <s v="Planning"/>
    <s v="Community meeting"/>
  </r>
  <r>
    <s v="SUB-0384"/>
    <s v="SYN-0384"/>
    <s v="yes"/>
    <s v="1.0.0"/>
    <s v="ROUND_1"/>
    <d v="2025-09-20T00:00:00"/>
    <d v="2025-08-02T00:00:00"/>
    <s v="NORTH"/>
    <s v="N03"/>
    <s v="ENUM_06"/>
    <s v="yes"/>
    <s v="25_34"/>
    <s v="man"/>
    <n v="2"/>
    <s v="no"/>
    <s v="no"/>
    <m/>
    <s v=""/>
    <m/>
    <m/>
    <m/>
    <s v=""/>
    <n v="3"/>
    <s v="no"/>
    <s v=""/>
    <s v=""/>
    <n v="9.1999999999999993"/>
    <x v="0"/>
    <x v="1"/>
    <s v="UNMAPPED"/>
    <s v="UNMAPPED"/>
  </r>
  <r>
    <s v="SUB-0022"/>
    <s v="SYN-0022"/>
    <s v="yes"/>
    <s v="1.0.0"/>
    <s v="ROUND_2"/>
    <d v="2025-07-30T00:00:00"/>
    <d v="2025-03-19T00:00:00"/>
    <s v="WEST"/>
    <s v="W03"/>
    <s v="ENUM_02"/>
    <s v="yes"/>
    <s v="55_plus"/>
    <s v="man"/>
    <n v="5"/>
    <s v="no"/>
    <s v="yes"/>
    <d v="2025-03-23T00:00:00"/>
    <s v="digital_skills"/>
    <n v="4"/>
    <n v="3"/>
    <n v="4"/>
    <s v="yes"/>
    <n v="3"/>
    <s v="yes"/>
    <s v="community_meeting"/>
    <s v=""/>
    <n v="16"/>
    <x v="1"/>
    <x v="0"/>
    <s v="Digital skills"/>
    <s v="Community meeting"/>
  </r>
  <r>
    <s v="SUB-0074"/>
    <s v="SYN-0074"/>
    <s v="yes"/>
    <s v="1.0.0"/>
    <s v="ROUND_1"/>
    <d v="2025-08-26T00:00:00"/>
    <d v="2025-05-27T00:00:00"/>
    <s v="SOUTH"/>
    <s v="S03"/>
    <s v="ENUM_06"/>
    <s v="yes"/>
    <s v="25_34"/>
    <s v="woman"/>
    <n v="6"/>
    <s v="no"/>
    <s v="yes"/>
    <d v="2025-08-16T00:00:00"/>
    <s v="financial_skills"/>
    <n v="4"/>
    <n v="1"/>
    <n v="2"/>
    <s v="yes"/>
    <n v="4"/>
    <s v="no"/>
    <s v=""/>
    <s v="Travel to the meeting location was difficult during bad weather."/>
    <n v="21.8"/>
    <x v="4"/>
    <x v="1"/>
    <s v="Financial skills"/>
    <s v="UNMAPPED"/>
  </r>
  <r>
    <s v="SUB-0276"/>
    <s v="SYN-0276"/>
    <s v="yes"/>
    <s v="1.0.0"/>
    <s v="ROUND_1"/>
    <d v="2025-09-23T00:00:00"/>
    <d v="2025-05-16T00:00:00"/>
    <s v="EAST"/>
    <s v="E03"/>
    <s v="ENUM_02"/>
    <s v="yes"/>
    <s v="25_34"/>
    <s v="man"/>
    <n v="3"/>
    <s v="no"/>
    <s v="yes"/>
    <d v="2025-07-02T00:00:00"/>
    <s v="digital_skills"/>
    <n v="4"/>
    <n v="1"/>
    <n v="1"/>
    <s v="no"/>
    <n v="4"/>
    <s v="no"/>
    <s v=""/>
    <s v=""/>
    <n v="21.4"/>
    <x v="2"/>
    <x v="1"/>
    <s v="Digital skills"/>
    <s v="UNMAPPED"/>
  </r>
  <r>
    <s v="SUB-0227"/>
    <s v="SYN-0227"/>
    <s v="yes"/>
    <s v="1.0.0"/>
    <s v="ROUND_2"/>
    <d v="2025-06-12T00:00:00"/>
    <d v="2025-04-20T00:00:00"/>
    <s v="SOUTH"/>
    <s v="S02"/>
    <s v="ENUM_03"/>
    <s v="yes"/>
    <s v="45_54"/>
    <s v="woman"/>
    <n v="7"/>
    <s v="no"/>
    <s v="yes"/>
    <d v="2025-05-13T00:00:00"/>
    <s v="financial_skills"/>
    <n v="4"/>
    <n v="1"/>
    <n v="2"/>
    <s v="yes"/>
    <n v="2"/>
    <s v="no"/>
    <s v=""/>
    <s v=""/>
    <n v="18.899999999999999"/>
    <x v="4"/>
    <x v="0"/>
    <s v="Financial skills"/>
    <s v="UNMAPPED"/>
  </r>
  <r>
    <s v="SUB-0245"/>
    <s v="SYN-0245"/>
    <s v="yes"/>
    <s v="1.0.0"/>
    <s v="ROUND_1"/>
    <d v="2025-09-05T00:00:00"/>
    <d v="2025-06-25T00:00:00"/>
    <s v="NORTH"/>
    <s v="N02"/>
    <s v="ENUM_02"/>
    <s v="yes"/>
    <s v="45_54"/>
    <s v="man"/>
    <n v="3"/>
    <s v="no"/>
    <s v="yes"/>
    <d v="2025-08-04T00:00:00"/>
    <s v="planning"/>
    <n v="4"/>
    <n v="3"/>
    <n v="4"/>
    <s v="no"/>
    <n v="3"/>
    <s v="no"/>
    <s v="radio"/>
    <s v="More time for questions and practice would improve the training."/>
    <n v="25.5"/>
    <x v="0"/>
    <x v="1"/>
    <s v="Planning"/>
    <s v="Radio"/>
  </r>
  <r>
    <s v="SUB-0325"/>
    <s v="SYN-0325"/>
    <s v="yes"/>
    <s v="1.0.0"/>
    <s v="ROUND_1"/>
    <d v="2025-06-14T00:00:00"/>
    <d v="2025-02-21T00:00:00"/>
    <s v="SOUTH"/>
    <s v="S01"/>
    <s v="ENUM_02"/>
    <s v="yes"/>
    <s v="35_44"/>
    <s v="man"/>
    <n v="4"/>
    <s v="yes"/>
    <s v="yes"/>
    <d v="2025-04-01T00:00:00"/>
    <s v="digital_skills"/>
    <n v="3"/>
    <n v="1"/>
    <n v="2"/>
    <s v="no"/>
    <n v="4"/>
    <s v="yes"/>
    <s v="radio"/>
    <s v=""/>
    <n v="14.7"/>
    <x v="4"/>
    <x v="1"/>
    <s v="Digital skills"/>
    <s v="Radio"/>
  </r>
  <r>
    <s v="SUB-0348"/>
    <s v="SYN-0348"/>
    <s v="yes"/>
    <s v="1.0.0"/>
    <s v="ROUND_2"/>
    <d v="2025-08-02T00:00:00"/>
    <d v="2025-05-20T00:00:00"/>
    <s v="SOUTH"/>
    <s v="S03"/>
    <s v="ENUM_05"/>
    <s v="yes"/>
    <s v="25_34"/>
    <s v="woman"/>
    <n v="4"/>
    <s v="no"/>
    <s v="no"/>
    <m/>
    <s v=""/>
    <m/>
    <m/>
    <m/>
    <s v=""/>
    <n v="2"/>
    <s v="no"/>
    <s v=""/>
    <s v=""/>
    <n v="24.9"/>
    <x v="4"/>
    <x v="0"/>
    <s v="UNMAPPED"/>
    <s v="UNMAPPED"/>
  </r>
  <r>
    <s v="SUB-0353"/>
    <s v="SYN-0353"/>
    <s v="yes"/>
    <s v="1.0.0"/>
    <s v="ROUND_2"/>
    <d v="2025-08-30T00:00:00"/>
    <d v="2025-06-02T00:00:00"/>
    <s v="NORTH"/>
    <s v="S01"/>
    <s v="ENUM_07"/>
    <s v="yes"/>
    <s v="45_54"/>
    <s v="woman"/>
    <n v="5"/>
    <s v="no"/>
    <s v="no"/>
    <m/>
    <s v=""/>
    <m/>
    <m/>
    <m/>
    <s v=""/>
    <n v="4"/>
    <s v="yes"/>
    <s v="printed_material"/>
    <s v=""/>
    <n v="11.7"/>
    <x v="0"/>
    <x v="0"/>
    <s v="UNMAPPED"/>
    <s v="Printed material"/>
  </r>
  <r>
    <s v="SUB-0222"/>
    <s v="SYN-0222"/>
    <s v="yes"/>
    <s v="1.0.0"/>
    <s v="ROUND_2"/>
    <d v="2025-08-21T00:00:00"/>
    <d v="2025-03-26T00:00:00"/>
    <s v="WEST"/>
    <s v="W02"/>
    <s v="ENUM_06"/>
    <s v="yes"/>
    <s v="35_44"/>
    <s v="woman"/>
    <n v="4"/>
    <s v="yes"/>
    <s v="no"/>
    <m/>
    <s v=""/>
    <m/>
    <m/>
    <m/>
    <s v=""/>
    <n v="5"/>
    <s v="no"/>
    <s v=""/>
    <s v=""/>
    <n v="14.2"/>
    <x v="1"/>
    <x v="0"/>
    <s v="UNMAPPED"/>
    <s v="UNMAPPED"/>
  </r>
  <r>
    <s v="SUB-0164"/>
    <s v="SYN-0164"/>
    <s v="yes"/>
    <s v="1.0.0"/>
    <s v="ROUND_1"/>
    <d v="2025-06-04T00:00:00"/>
    <d v="2025-01-24T00:00:00"/>
    <s v="EAST"/>
    <s v="E02"/>
    <s v="ENUM_05"/>
    <s v="yes"/>
    <s v="35_44"/>
    <s v="woman"/>
    <n v="6"/>
    <s v="no"/>
    <s v="yes"/>
    <d v="2025-01-27T00:00:00"/>
    <s v="digital_skills"/>
    <n v="4"/>
    <n v="4"/>
    <n v="5"/>
    <s v="no"/>
    <n v="5"/>
    <s v="no"/>
    <s v=""/>
    <s v=""/>
    <n v="18.5"/>
    <x v="2"/>
    <x v="1"/>
    <s v="Digital skills"/>
    <s v="UNMAPPED"/>
  </r>
  <r>
    <s v="SUB-0202"/>
    <s v="SYN-0202"/>
    <s v="yes"/>
    <s v="1.0.0"/>
    <s v="ROUND_1"/>
    <d v="2025-07-03T00:00:00"/>
    <d v="2025-03-04T00:00:00"/>
    <s v="SOUTH"/>
    <s v="S02"/>
    <s v="ENUM_07"/>
    <s v="yes"/>
    <s v="25_34"/>
    <s v="man"/>
    <n v="5"/>
    <s v="no"/>
    <s v="no"/>
    <m/>
    <s v=""/>
    <m/>
    <m/>
    <m/>
    <s v=""/>
    <n v="3"/>
    <s v="no"/>
    <s v=""/>
    <s v=""/>
    <n v="18.2"/>
    <x v="4"/>
    <x v="1"/>
    <s v="UNMAPPED"/>
    <s v="UNMAPPED"/>
  </r>
  <r>
    <s v="SUB-0124"/>
    <s v="SYN-0124"/>
    <s v="yes"/>
    <s v="1.0.0"/>
    <s v="ROUND_2"/>
    <d v="2025-08-21T00:00:00"/>
    <d v="2025-05-15T00:00:00"/>
    <s v="WEST"/>
    <s v="W01"/>
    <s v="ENUM_07"/>
    <s v="yes"/>
    <s v="25_34"/>
    <s v="man"/>
    <n v="4"/>
    <s v="no"/>
    <s v="yes"/>
    <d v="2025-05-27T00:00:00"/>
    <s v="planning"/>
    <n v="5"/>
    <n v="3"/>
    <n v="5"/>
    <s v="yes"/>
    <n v="4"/>
    <s v="no"/>
    <s v=""/>
    <s v=""/>
    <n v="18"/>
    <x v="1"/>
    <x v="0"/>
    <s v="Planning"/>
    <s v="UNMAPPED"/>
  </r>
  <r>
    <s v="SUB-0176"/>
    <s v="SYN-0176"/>
    <s v="yes"/>
    <s v="1.0.0"/>
    <s v="ROUND_2"/>
    <d v="2025-06-26T00:00:00"/>
    <d v="2025-03-15T00:00:00"/>
    <s v="SOUTH"/>
    <s v="S03"/>
    <s v="ENUM_08"/>
    <s v="yes"/>
    <s v="25_34"/>
    <s v="woman"/>
    <n v="6"/>
    <s v="no"/>
    <s v="no"/>
    <m/>
    <s v=""/>
    <m/>
    <m/>
    <m/>
    <s v=""/>
    <n v="5"/>
    <s v="yes"/>
    <s v="community_meeting"/>
    <s v=""/>
    <n v="11.8"/>
    <x v="4"/>
    <x v="0"/>
    <s v="UNMAPPED"/>
    <s v="Community meeting"/>
  </r>
  <r>
    <s v="SUB-0398"/>
    <s v="SYN-0398"/>
    <s v="yes"/>
    <s v="1.0.0"/>
    <s v="ROUND_2"/>
    <d v="2025-07-16T00:00:00"/>
    <d v="2025-05-25T00:00:00"/>
    <s v="SOUTH"/>
    <s v="S01"/>
    <s v="ENUM_07"/>
    <s v="yes"/>
    <s v="35_44"/>
    <s v="man"/>
    <n v="4"/>
    <s v="no"/>
    <s v="yes"/>
    <d v="2025-05-30T00:00:00"/>
    <s v="financial_skills"/>
    <n v="4"/>
    <n v="2"/>
    <n v="3"/>
    <s v="yes"/>
    <n v="1"/>
    <s v="no"/>
    <s v=""/>
    <s v="The facilitator explained the topic clearly and respectfully."/>
    <n v="19.899999999999999"/>
    <x v="4"/>
    <x v="0"/>
    <s v="Financial skills"/>
    <s v="UNMAPPED"/>
  </r>
  <r>
    <s v="SUB-0319"/>
    <s v="SYN-0319"/>
    <s v="yes"/>
    <s v="1.0.0"/>
    <s v="ROUND_2"/>
    <d v="2025-05-11T00:00:00"/>
    <d v="2024-12-28T00:00:00"/>
    <s v="WEST"/>
    <s v="W01"/>
    <s v="ENUM_03"/>
    <s v="yes"/>
    <s v="25_34"/>
    <s v="woman"/>
    <n v="2"/>
    <s v="no"/>
    <s v="yes"/>
    <d v="2024-12-28T00:00:00"/>
    <s v="planning"/>
    <n v="4"/>
    <n v="1"/>
    <n v="2"/>
    <s v="no"/>
    <n v="5"/>
    <s v="no"/>
    <s v=""/>
    <s v=""/>
    <n v="22.2"/>
    <x v="1"/>
    <x v="0"/>
    <s v="Planning"/>
    <s v="UNMAPPED"/>
  </r>
  <r>
    <s v="SUB-0109"/>
    <s v="SYN-0109"/>
    <s v="yes"/>
    <s v="1.0.0"/>
    <s v="ROUND_1"/>
    <d v="2025-07-16T00:00:00"/>
    <d v="2025-03-03T00:00:00"/>
    <s v="SOUTH"/>
    <s v="S02"/>
    <s v="ENUM_08"/>
    <s v="yes"/>
    <s v="35_44"/>
    <s v="man"/>
    <n v="7"/>
    <s v="no"/>
    <s v="no"/>
    <m/>
    <s v=""/>
    <m/>
    <m/>
    <m/>
    <s v=""/>
    <n v="4"/>
    <s v="no"/>
    <s v=""/>
    <s v=""/>
    <n v="16.100000000000001"/>
    <x v="4"/>
    <x v="1"/>
    <s v="UNMAPPED"/>
    <s v="UNMAPPED"/>
  </r>
  <r>
    <s v="SUB-0186"/>
    <s v="SYN-0186"/>
    <s v="yes"/>
    <s v="1.0.0"/>
    <s v="ROUND_2"/>
    <d v="2025-06-25T00:00:00"/>
    <d v="2025-03-27T00:00:00"/>
    <s v="SOUTH"/>
    <s v="S01"/>
    <s v="ENUM_07"/>
    <s v="yes"/>
    <s v="18_24"/>
    <s v="woman"/>
    <n v="5"/>
    <s v="no"/>
    <s v="yes"/>
    <d v="2025-06-03T00:00:00"/>
    <s v="digital_skills"/>
    <n v="4"/>
    <n v="1"/>
    <n v="3"/>
    <s v="yes"/>
    <n v="2"/>
    <s v="yes"/>
    <s v="radio"/>
    <s v="The practical examples made the sessions easier to understand."/>
    <n v="30.9"/>
    <x v="4"/>
    <x v="0"/>
    <s v="Digital skills"/>
    <s v="Radio"/>
  </r>
  <r>
    <s v="SUB-0265"/>
    <s v="SYN-0265"/>
    <s v="yes"/>
    <s v="1.0.0"/>
    <s v="ROUND_1"/>
    <d v="2025-07-07T00:00:00"/>
    <d v="2025-03-20T00:00:00"/>
    <s v="EAST"/>
    <s v="E01"/>
    <s v="ENUM_03"/>
    <s v="yes"/>
    <s v="45_54"/>
    <s v="woman"/>
    <n v="4"/>
    <s v="no"/>
    <s v="no"/>
    <m/>
    <s v=""/>
    <m/>
    <m/>
    <m/>
    <s v=""/>
    <n v="4"/>
    <s v="no"/>
    <s v=""/>
    <s v=""/>
    <n v="13.8"/>
    <x v="2"/>
    <x v="1"/>
    <s v="UNMAPPED"/>
    <s v="UNMAPPED"/>
  </r>
  <r>
    <s v="SUB-0311"/>
    <s v="SYN-0311"/>
    <s v="yes"/>
    <s v="1.0.0"/>
    <s v="ROUND_2"/>
    <d v="2025-06-08T00:00:00"/>
    <d v="2025-04-16T00:00:00"/>
    <s v="NORTH"/>
    <s v="N01"/>
    <s v="ENUM_06"/>
    <s v="yes"/>
    <s v=""/>
    <s v="woman"/>
    <n v="3"/>
    <s v="no"/>
    <s v="no"/>
    <m/>
    <s v=""/>
    <m/>
    <m/>
    <m/>
    <s v=""/>
    <n v="5"/>
    <s v="no"/>
    <s v=""/>
    <s v=""/>
    <n v="11.1"/>
    <x v="0"/>
    <x v="0"/>
    <s v="UNMAPPED"/>
    <s v="UNMAPPED"/>
  </r>
  <r>
    <s v="SUB-0112"/>
    <s v="SYN-0112"/>
    <s v="yes"/>
    <s v="1.0.0"/>
    <s v="ROUND_1"/>
    <d v="2025-07-24T00:00:00"/>
    <d v="2025-03-14T00:00:00"/>
    <s v="WEST"/>
    <s v="W01"/>
    <s v="ENUM_07"/>
    <s v="yes"/>
    <s v="18_24"/>
    <s v="non_binary"/>
    <n v="3"/>
    <s v="no"/>
    <s v="no"/>
    <m/>
    <s v=""/>
    <m/>
    <m/>
    <m/>
    <s v=""/>
    <n v="4"/>
    <s v="yes"/>
    <s v="community_meeting"/>
    <s v=""/>
    <n v="16"/>
    <x v="1"/>
    <x v="1"/>
    <s v="UNMAPPED"/>
    <s v="Community meeting"/>
  </r>
  <r>
    <s v="SUB-DUP-001"/>
    <s v="SYN-0239"/>
    <s v="yes"/>
    <s v="1.0.0"/>
    <s v="ROUND_1"/>
    <d v="2025-07-13T00:00:00"/>
    <d v="2025-06-02T00:00:00"/>
    <s v="EAST"/>
    <s v="E02"/>
    <s v="ENUM_06"/>
    <s v="yes"/>
    <s v="18_24"/>
    <s v="man"/>
    <n v="8"/>
    <s v="no"/>
    <s v="yes"/>
    <d v="2025-07-12T00:00:00"/>
    <s v="planning"/>
    <n v="5"/>
    <n v="2"/>
    <n v="2"/>
    <s v="yes"/>
    <n v="4"/>
    <s v="yes"/>
    <s v="radio"/>
    <s v=""/>
    <n v="19.5"/>
    <x v="2"/>
    <x v="1"/>
    <s v="Planning"/>
    <s v="Radio"/>
  </r>
  <r>
    <s v="SUB-0060"/>
    <s v="SYN-0060"/>
    <s v="yes"/>
    <s v="1.0.0"/>
    <s v="ROUND_2"/>
    <d v="2025-05-12T00:00:00"/>
    <d v="2025-03-31T00:00:00"/>
    <s v="EAST"/>
    <s v="E02"/>
    <s v="ENUM_02"/>
    <s v="yes"/>
    <s v="25_34"/>
    <s v="woman"/>
    <n v="5"/>
    <s v="no"/>
    <s v="yes"/>
    <d v="2025-05-11T00:00:00"/>
    <s v="leadership"/>
    <n v="2"/>
    <n v="2"/>
    <n v="3"/>
    <s v="yes"/>
    <n v="5"/>
    <s v="no"/>
    <s v=""/>
    <s v=""/>
    <n v="19.7"/>
    <x v="2"/>
    <x v="0"/>
    <s v="Leadership"/>
    <s v="UNMAPPED"/>
  </r>
  <r>
    <s v="SUB-0111"/>
    <s v="SYN-0111"/>
    <s v="yes"/>
    <s v="1.0.0"/>
    <s v="ROUND_2"/>
    <d v="2025-09-21T00:00:00"/>
    <d v="2025-08-15T00:00:00"/>
    <s v="SOUTH"/>
    <s v="S01"/>
    <s v="ENUM_05"/>
    <s v="yes"/>
    <s v="35_44"/>
    <s v="man"/>
    <n v="4"/>
    <s v="no"/>
    <s v="yes"/>
    <d v="2025-08-28T00:00:00"/>
    <s v="leadership"/>
    <n v="3"/>
    <n v="1"/>
    <n v="3"/>
    <s v="no"/>
    <n v="4"/>
    <s v="yes"/>
    <s v="printed_material"/>
    <s v=""/>
    <n v="18.600000000000001"/>
    <x v="4"/>
    <x v="0"/>
    <s v="Leadership"/>
    <s v="Printed material"/>
  </r>
  <r>
    <s v="SUB-0029"/>
    <s v="SYN-0029"/>
    <s v="yes"/>
    <s v="1.0.0"/>
    <s v="ROUND_2"/>
    <d v="2025-05-01T00:00:00"/>
    <d v="2024-12-08T00:00:00"/>
    <s v="EAST"/>
    <s v="E02"/>
    <s v="ENUM_04"/>
    <s v="yes"/>
    <s v="35_44"/>
    <s v="woman"/>
    <n v="10"/>
    <s v="no"/>
    <s v="yes"/>
    <d v="2025-03-09T00:00:00"/>
    <s v="planning"/>
    <n v="2"/>
    <n v="4"/>
    <n v="5"/>
    <s v="yes"/>
    <n v="2"/>
    <s v="yes"/>
    <s v="radio"/>
    <s v=""/>
    <n v="21.5"/>
    <x v="2"/>
    <x v="0"/>
    <s v="Planning"/>
    <s v="Radio"/>
  </r>
  <r>
    <s v="SUB-0296"/>
    <s v="SYN-0296"/>
    <s v="yes"/>
    <s v="1.0.0"/>
    <s v="ROUND_2"/>
    <d v="2025-06-05T00:00:00"/>
    <d v="2025-01-22T00:00:00"/>
    <s v="EAST"/>
    <s v="E01"/>
    <s v="ENUM_02"/>
    <s v="yes"/>
    <s v="25_34"/>
    <s v="woman"/>
    <n v="10"/>
    <s v="no"/>
    <s v="yes"/>
    <d v="2025-03-04T00:00:00"/>
    <s v="planning"/>
    <n v="4"/>
    <n v="1"/>
    <n v="3"/>
    <s v="yes"/>
    <n v="4"/>
    <s v="no"/>
    <s v=""/>
    <s v=""/>
    <n v="25.6"/>
    <x v="2"/>
    <x v="0"/>
    <s v="Planning"/>
    <s v="UNMAPPED"/>
  </r>
  <r>
    <s v="SUB-0027"/>
    <s v="SYN-0027"/>
    <s v="yes"/>
    <s v="1.0.0"/>
    <s v="ROUND_1"/>
    <d v="2025-07-31T00:00:00"/>
    <d v="2025-04-15T00:00:00"/>
    <s v="WEST"/>
    <s v="W02"/>
    <s v="ENUM_03"/>
    <s v="yes"/>
    <s v="25_34"/>
    <s v="woman"/>
    <n v="3"/>
    <s v="no"/>
    <s v="yes"/>
    <d v="2025-05-01T00:00:00"/>
    <s v="digital_skills"/>
    <n v="4"/>
    <n v="1"/>
    <n v="3"/>
    <s v="no"/>
    <n v="3"/>
    <s v="no"/>
    <s v=""/>
    <s v="The facilitator explained the topic clearly and respectfully."/>
    <n v="33.1"/>
    <x v="1"/>
    <x v="1"/>
    <s v="Digital skills"/>
    <s v="UNMAPPED"/>
  </r>
  <r>
    <s v="SUB-0137"/>
    <s v="SYN-0137"/>
    <s v="yes"/>
    <s v="1.0.0"/>
    <s v="ROUND_2"/>
    <d v="2025-09-28T00:00:00"/>
    <d v="2025-08-09T00:00:00"/>
    <s v="NORTH"/>
    <s v="N01"/>
    <s v="ENUM_06"/>
    <s v="yes"/>
    <s v="25_34"/>
    <s v="man"/>
    <n v="3"/>
    <s v="no"/>
    <s v="yes"/>
    <d v="2025-09-22T00:00:00"/>
    <s v="planning"/>
    <n v="5"/>
    <n v="2"/>
    <n v="3"/>
    <s v="yes"/>
    <n v="5"/>
    <s v="no"/>
    <s v=""/>
    <s v=""/>
    <n v="25.8"/>
    <x v="0"/>
    <x v="0"/>
    <s v="Planning"/>
    <s v="UNMAPPED"/>
  </r>
  <r>
    <s v="SUB-0047"/>
    <s v="SYN-0047"/>
    <s v="yes"/>
    <s v="1.0.0"/>
    <s v="ROUND_2"/>
    <d v="2025-04-01T00:00:00"/>
    <d v="2024-12-02T00:00:00"/>
    <s v="EAST"/>
    <s v="E03"/>
    <s v="ENUM_07"/>
    <s v="yes"/>
    <s v="35_44"/>
    <s v="non_binary"/>
    <n v="7"/>
    <s v="no"/>
    <s v="yes"/>
    <d v="2025-03-30T00:00:00"/>
    <s v="planning"/>
    <n v="3"/>
    <n v="4"/>
    <n v="5"/>
    <s v="no"/>
    <n v="2"/>
    <s v="no"/>
    <s v=""/>
    <s v=""/>
    <n v="8.6"/>
    <x v="2"/>
    <x v="0"/>
    <s v="Planning"/>
    <s v="UNMAPPED"/>
  </r>
  <r>
    <s v="SUB-0101"/>
    <s v="SYN-0101"/>
    <s v="yes"/>
    <s v="1.0.0"/>
    <s v="ROUND_2"/>
    <d v="2025-04-10T00:00:00"/>
    <d v="2024-11-26T00:00:00"/>
    <s v="WEST"/>
    <s v="W03"/>
    <s v="ENUM_02"/>
    <s v="yes"/>
    <s v="45_54"/>
    <s v="man"/>
    <n v="5"/>
    <s v="no"/>
    <s v="no"/>
    <m/>
    <s v=""/>
    <m/>
    <m/>
    <m/>
    <s v=""/>
    <n v="4"/>
    <s v="no"/>
    <s v=""/>
    <s v=""/>
    <n v="21.3"/>
    <x v="1"/>
    <x v="0"/>
    <s v="UNMAPPED"/>
    <s v="UNMAPPED"/>
  </r>
  <r>
    <s v="SUB-0217"/>
    <s v="SYN-0217"/>
    <s v="yes"/>
    <s v="1.0.0"/>
    <s v="ROUND_2"/>
    <d v="2025-06-20T00:00:00"/>
    <d v="2025-01-27T00:00:00"/>
    <s v="EAST"/>
    <s v="E02"/>
    <s v="ENUM_03"/>
    <s v="yes"/>
    <s v="35_44"/>
    <s v="man"/>
    <n v="3"/>
    <s v="no"/>
    <s v="yes"/>
    <d v="2025-04-24T00:00:00"/>
    <s v="financial_skills"/>
    <n v="5"/>
    <n v="2"/>
    <n v="2"/>
    <s v="no"/>
    <n v="4"/>
    <s v="no"/>
    <s v=""/>
    <s v="The group activities helped me learn from other participants."/>
    <n v="18"/>
    <x v="2"/>
    <x v="0"/>
    <s v="Financial skills"/>
    <s v="UNMAPPED"/>
  </r>
  <r>
    <s v="SUB-0077"/>
    <s v="SYN-0077"/>
    <s v="yes"/>
    <s v="1.0.0"/>
    <s v="ROUND_2"/>
    <d v="2025-08-16T00:00:00"/>
    <d v="2025-04-23T00:00:00"/>
    <s v="SOUTH"/>
    <s v="S02"/>
    <s v="ENUM_08"/>
    <s v="yes"/>
    <s v="25_34"/>
    <s v="woman"/>
    <n v="9"/>
    <s v="no"/>
    <s v="no"/>
    <m/>
    <s v=""/>
    <m/>
    <m/>
    <m/>
    <s v=""/>
    <n v="2"/>
    <s v="no"/>
    <s v=""/>
    <s v=""/>
    <n v="18.600000000000001"/>
    <x v="4"/>
    <x v="0"/>
    <s v="UNMAPPED"/>
    <s v="UNMAPPED"/>
  </r>
  <r>
    <s v="SUB-0053"/>
    <s v="SYN-0053"/>
    <s v="yes"/>
    <s v="1.0.0"/>
    <s v=""/>
    <m/>
    <m/>
    <s v=""/>
    <s v=""/>
    <s v=""/>
    <s v="no"/>
    <s v=""/>
    <s v=""/>
    <m/>
    <s v=""/>
    <s v=""/>
    <m/>
    <s v=""/>
    <m/>
    <m/>
    <m/>
    <s v=""/>
    <m/>
    <s v=""/>
    <s v=""/>
    <s v=""/>
    <m/>
    <x v="3"/>
    <x v="2"/>
    <s v="UNMAPPED"/>
    <s v="UNMAPPED"/>
  </r>
  <r>
    <s v="SUB-0294"/>
    <s v="SYN-0294"/>
    <s v="yes"/>
    <s v="1.0.0"/>
    <s v="ROUND_1"/>
    <d v="2025-05-24T00:00:00"/>
    <d v="2025-02-08T00:00:00"/>
    <s v="EAST"/>
    <s v="E01"/>
    <s v="ENUM_04"/>
    <s v="yes"/>
    <s v="18_24"/>
    <s v="woman"/>
    <n v="3"/>
    <s v="no"/>
    <s v="yes"/>
    <d v="2025-03-22T00:00:00"/>
    <s v="leadership"/>
    <n v="5"/>
    <n v="2"/>
    <n v="3"/>
    <s v="yes"/>
    <n v="3"/>
    <s v="yes"/>
    <s v="community_meeting"/>
    <s v=""/>
    <n v="9.5"/>
    <x v="2"/>
    <x v="1"/>
    <s v="Leadership"/>
    <s v="Community meeting"/>
  </r>
  <r>
    <s v="SUB-0110"/>
    <s v="SYN-0110"/>
    <s v="yes"/>
    <s v="1.0.0"/>
    <s v="ROUND_2"/>
    <d v="2025-04-16T00:00:00"/>
    <d v="2025-03-02T00:00:00"/>
    <s v="EAST"/>
    <s v="E03"/>
    <s v="ENUM_06"/>
    <s v="yes"/>
    <s v="45_54"/>
    <s v="woman"/>
    <n v="3"/>
    <s v="no"/>
    <s v="yes"/>
    <d v="2025-03-15T00:00:00"/>
    <s v="planning"/>
    <n v="4"/>
    <n v="1"/>
    <n v="2"/>
    <s v="yes"/>
    <n v="3"/>
    <s v="no"/>
    <s v=""/>
    <s v=""/>
    <n v="22.8"/>
    <x v="2"/>
    <x v="0"/>
    <s v="Planning"/>
    <s v="UNMAPPED"/>
  </r>
  <r>
    <s v="SUB-0092"/>
    <s v="SYN-0092"/>
    <s v="yes"/>
    <s v="1.0.0"/>
    <s v="ROUND_2"/>
    <d v="2025-07-23T00:00:00"/>
    <d v="2025-05-12T00:00:00"/>
    <s v="EAST"/>
    <s v="E02"/>
    <s v="ENUM_01"/>
    <s v="yes"/>
    <s v="45_54"/>
    <s v="man"/>
    <n v="4"/>
    <s v="no"/>
    <s v="yes"/>
    <d v="2025-06-27T00:00:00"/>
    <s v="leadership"/>
    <n v="2"/>
    <n v="2"/>
    <n v="3"/>
    <s v="no"/>
    <n v="5"/>
    <s v="no"/>
    <s v=""/>
    <s v=""/>
    <n v="17.5"/>
    <x v="2"/>
    <x v="0"/>
    <s v="Leadership"/>
    <s v="UNMAPPED"/>
  </r>
  <r>
    <s v="SUB-0374"/>
    <s v="SYN-0374"/>
    <s v="yes"/>
    <s v="1.0.0"/>
    <s v="ROUND_2"/>
    <d v="2025-04-18T00:00:00"/>
    <d v="2024-12-24T00:00:00"/>
    <s v="EAST"/>
    <s v="E01"/>
    <s v="ENUM_08"/>
    <s v="yes"/>
    <s v="18_24"/>
    <s v="woman"/>
    <n v="4"/>
    <s v="no"/>
    <s v="no"/>
    <m/>
    <s v=""/>
    <m/>
    <m/>
    <m/>
    <s v=""/>
    <n v="3"/>
    <s v="yes"/>
    <s v="community_meeting"/>
    <s v=""/>
    <n v="4.2"/>
    <x v="2"/>
    <x v="0"/>
    <s v="UNMAPPED"/>
    <s v="Community meeting"/>
  </r>
  <r>
    <s v="SUB-0373"/>
    <s v="SYN-0373"/>
    <s v="yes"/>
    <s v="1.0.0"/>
    <s v="ROUND_1"/>
    <d v="2025-08-22T00:00:00"/>
    <d v="2025-05-26T00:00:00"/>
    <s v="NORTH"/>
    <s v="N02"/>
    <s v="ENUM_03"/>
    <s v="yes"/>
    <s v="25_34"/>
    <s v="woman"/>
    <n v="5"/>
    <s v="no"/>
    <s v="yes"/>
    <d v="2025-07-23T00:00:00"/>
    <s v="financial_skills"/>
    <n v="1"/>
    <n v="3"/>
    <n v="5"/>
    <s v="yes"/>
    <n v="1"/>
    <s v="yes"/>
    <s v="radio"/>
    <s v=""/>
    <n v="25.4"/>
    <x v="0"/>
    <x v="1"/>
    <s v="Financial skills"/>
    <s v="Radio"/>
  </r>
  <r>
    <s v="SUB-0338"/>
    <s v="SYN-0338"/>
    <s v="yes"/>
    <s v="1.0.0"/>
    <s v="ROUND_2"/>
    <d v="2025-08-29T00:00:00"/>
    <d v="2025-04-13T00:00:00"/>
    <s v="NORTH"/>
    <s v="N02"/>
    <s v="ENUM_04"/>
    <s v="yes"/>
    <s v="35_44"/>
    <s v="man"/>
    <n v="5"/>
    <s v="no"/>
    <s v="yes"/>
    <d v="2025-05-21T00:00:00"/>
    <s v="digital_skills"/>
    <n v="4"/>
    <n v="2"/>
    <n v="3"/>
    <s v="yes"/>
    <n v="1"/>
    <s v="no"/>
    <s v=""/>
    <s v=""/>
    <n v="7.1"/>
    <x v="0"/>
    <x v="0"/>
    <s v="Digital skills"/>
    <s v="UNMAPPED"/>
  </r>
  <r>
    <s v="SUB-0264"/>
    <s v="SYN-0264"/>
    <s v="yes"/>
    <s v="1.0.0"/>
    <s v="ROUND_2"/>
    <d v="2025-05-04T00:00:00"/>
    <d v="2024-12-13T00:00:00"/>
    <s v="SOUTH"/>
    <s v="S01"/>
    <s v="ENUM_03"/>
    <s v="yes"/>
    <s v="45_54"/>
    <s v="man"/>
    <n v="7"/>
    <s v="no"/>
    <s v="no"/>
    <m/>
    <s v=""/>
    <m/>
    <m/>
    <m/>
    <s v=""/>
    <n v="5"/>
    <s v="yes"/>
    <s v="community_meeting"/>
    <s v=""/>
    <n v="5.4"/>
    <x v="4"/>
    <x v="0"/>
    <s v="UNMAPPED"/>
    <s v="Community meeting"/>
  </r>
  <r>
    <s v="SUB-0324"/>
    <s v="SYN-0324"/>
    <s v="yes"/>
    <s v="1.0.0"/>
    <s v="ROUND_2"/>
    <d v="2025-07-20T00:00:00"/>
    <d v="2025-02-23T00:00:00"/>
    <s v="SOUTH"/>
    <s v="S02"/>
    <s v="ENUM_07"/>
    <s v="yes"/>
    <s v="25_34"/>
    <s v="man"/>
    <n v="5"/>
    <s v="no"/>
    <s v="yes"/>
    <d v="2025-05-17T00:00:00"/>
    <s v="digital_skills"/>
    <n v="4"/>
    <n v="4"/>
    <n v="5"/>
    <s v="yes"/>
    <n v="2"/>
    <s v="no"/>
    <s v=""/>
    <s v=""/>
    <n v="21.4"/>
    <x v="4"/>
    <x v="0"/>
    <s v="Digital skills"/>
    <s v="UNMAPPED"/>
  </r>
  <r>
    <s v="SUB-0392"/>
    <s v="SYN-0392"/>
    <s v="yes"/>
    <s v="1.0.0"/>
    <s v="ROUND_2"/>
    <d v="2025-05-17T00:00:00"/>
    <d v="2025-02-06T00:00:00"/>
    <s v="NORTH"/>
    <s v="N02"/>
    <s v="ENUM_03"/>
    <s v="yes"/>
    <s v="25_34"/>
    <s v="woman"/>
    <n v="8"/>
    <s v="no"/>
    <s v="yes"/>
    <d v="2025-04-19T00:00:00"/>
    <s v="digital_skills"/>
    <n v="5"/>
    <n v="1"/>
    <n v="2"/>
    <s v="yes"/>
    <n v="2"/>
    <s v="yes"/>
    <s v="printed_material"/>
    <s v=""/>
    <n v="19"/>
    <x v="0"/>
    <x v="0"/>
    <s v="Digital skills"/>
    <s v="Printed material"/>
  </r>
  <r>
    <s v="SUB-0134"/>
    <s v="SYN-0134"/>
    <s v="yes"/>
    <s v="1.0.0"/>
    <s v="ROUND_1"/>
    <d v="2025-08-24T00:00:00"/>
    <d v="2025-03-29T00:00:00"/>
    <s v="SOUTH"/>
    <s v="S02"/>
    <s v="ENUM_06"/>
    <s v="yes"/>
    <s v="35_44"/>
    <s v="man"/>
    <n v="4"/>
    <s v="no"/>
    <s v="yes"/>
    <d v="2025-07-27T00:00:00"/>
    <s v="planning"/>
    <n v="3"/>
    <n v="4"/>
    <n v="5"/>
    <s v="yes"/>
    <n v="4"/>
    <s v="no"/>
    <s v=""/>
    <s v="The practical examples made the sessions easier to understand."/>
    <n v="23"/>
    <x v="4"/>
    <x v="1"/>
    <s v="Planning"/>
    <s v="UNMAPPED"/>
  </r>
  <r>
    <s v="SUB-0188"/>
    <s v="SYN-0188"/>
    <s v="yes"/>
    <s v="1.0.0"/>
    <s v="ROUND_2"/>
    <d v="2025-09-04T00:00:00"/>
    <d v="2025-04-20T00:00:00"/>
    <s v="NORTH"/>
    <s v="N01"/>
    <s v="ENUM_08"/>
    <s v="yes"/>
    <s v="18_24"/>
    <s v="woman"/>
    <n v="4"/>
    <s v="no"/>
    <s v="yes"/>
    <d v="2025-07-28T00:00:00"/>
    <s v="planning"/>
    <n v="5"/>
    <n v="2"/>
    <n v="3"/>
    <s v="yes"/>
    <n v="4"/>
    <s v="yes"/>
    <s v="printed_material"/>
    <s v="A follow-up session on digital tools would be helpful."/>
    <n v="15.8"/>
    <x v="0"/>
    <x v="0"/>
    <s v="Planning"/>
    <s v="Printed material"/>
  </r>
  <r>
    <s v="SUB-0213"/>
    <s v="SYN-0213"/>
    <s v="yes"/>
    <s v="1.0.0"/>
    <s v="ROUND_2"/>
    <d v="2025-06-05T00:00:00"/>
    <d v="2025-03-19T00:00:00"/>
    <s v="NORTH"/>
    <s v="N03"/>
    <s v="ENUM_03"/>
    <s v="yes"/>
    <s v="35_44"/>
    <s v="man"/>
    <n v="5"/>
    <s v="no"/>
    <s v="no"/>
    <m/>
    <s v=""/>
    <m/>
    <m/>
    <m/>
    <s v=""/>
    <n v="3"/>
    <s v="no"/>
    <s v=""/>
    <s v=""/>
    <n v="22.4"/>
    <x v="0"/>
    <x v="0"/>
    <s v="UNMAPPED"/>
    <s v="UNMAPPED"/>
  </r>
  <r>
    <s v="SUB-0068"/>
    <s v="SYN-0068"/>
    <s v="yes"/>
    <s v="1.0.0"/>
    <s v="ROUND_2"/>
    <d v="2025-04-16T00:00:00"/>
    <d v="2025-02-10T00:00:00"/>
    <s v="EAST"/>
    <s v="E01"/>
    <s v="ENUM_05"/>
    <s v="yes"/>
    <s v="25_34"/>
    <s v="woman"/>
    <n v="5"/>
    <s v="no"/>
    <s v="yes"/>
    <d v="2025-03-07T00:00:00"/>
    <s v="digital_skills"/>
    <n v="4"/>
    <n v="1"/>
    <n v="2"/>
    <s v="yes"/>
    <n v="4"/>
    <s v="yes"/>
    <s v="radio"/>
    <s v="The practical examples made the sessions easier to understand."/>
    <n v="28.3"/>
    <x v="2"/>
    <x v="0"/>
    <s v="Digital skills"/>
    <s v="Radio"/>
  </r>
  <r>
    <s v="SUB-0158"/>
    <s v="SYN-0158"/>
    <s v="yes"/>
    <s v="1.0.0"/>
    <s v="ROUND_1"/>
    <d v="2025-09-10T00:00:00"/>
    <d v="2025-06-05T00:00:00"/>
    <s v="NORTH"/>
    <s v="N01"/>
    <s v="ENUM_06"/>
    <s v="yes"/>
    <s v="45_54"/>
    <s v="man"/>
    <n v="8"/>
    <s v="no"/>
    <s v="yes"/>
    <d v="2025-09-06T00:00:00"/>
    <s v="digital_skills"/>
    <n v="4"/>
    <n v="4"/>
    <n v="5"/>
    <s v="yes"/>
    <n v="3"/>
    <s v="no"/>
    <s v=""/>
    <s v=""/>
    <n v="20.5"/>
    <x v="0"/>
    <x v="1"/>
    <s v="Digital skills"/>
    <s v="UNMAPPED"/>
  </r>
  <r>
    <s v="SUB-0025"/>
    <s v="SYN-0025"/>
    <s v="yes"/>
    <s v="1.0.0"/>
    <s v="ROUND_2"/>
    <d v="2025-08-23T00:00:00"/>
    <d v="2025-07-01T00:00:00"/>
    <s v="EAST"/>
    <s v="E03"/>
    <s v="ENUM_02"/>
    <s v="yes"/>
    <s v="45_54"/>
    <s v="woman"/>
    <n v="4"/>
    <s v="no"/>
    <s v="yes"/>
    <d v="2025-07-17T00:00:00"/>
    <s v="planning"/>
    <n v="4"/>
    <n v="4"/>
    <n v="4"/>
    <s v="yes"/>
    <n v="3"/>
    <s v="no"/>
    <s v=""/>
    <s v=""/>
    <n v="13.6"/>
    <x v="2"/>
    <x v="0"/>
    <s v="Planning"/>
    <s v="UNMAPPED"/>
  </r>
  <r>
    <s v="SUB-0147"/>
    <s v="SYN-0147"/>
    <s v="yes"/>
    <s v="1.0.0"/>
    <s v="ROUND_2"/>
    <d v="2025-05-22T00:00:00"/>
    <d v="2025-02-07T00:00:00"/>
    <s v="NORTH"/>
    <s v="N02"/>
    <s v="ENUM_08"/>
    <s v="yes"/>
    <s v="25_34"/>
    <s v="man"/>
    <n v="6"/>
    <s v="no"/>
    <s v="no"/>
    <m/>
    <s v=""/>
    <m/>
    <m/>
    <m/>
    <s v=""/>
    <n v="4"/>
    <s v="no"/>
    <s v=""/>
    <s v=""/>
    <n v="15.6"/>
    <x v="0"/>
    <x v="0"/>
    <s v="UNMAPPED"/>
    <s v="UNMAPPED"/>
  </r>
  <r>
    <s v="SUB-DUP-002"/>
    <s v="SYN-0066"/>
    <s v="yes"/>
    <s v="1.0.0"/>
    <s v="ROUND_1"/>
    <d v="2025-09-15T00:00:00"/>
    <d v="2025-05-27T00:00:00"/>
    <s v="NORTH"/>
    <s v="N02"/>
    <s v="ENUM_08"/>
    <s v="yes"/>
    <s v="35_44"/>
    <s v="woman"/>
    <n v="3"/>
    <s v="no"/>
    <s v="yes"/>
    <d v="2025-07-25T00:00:00"/>
    <s v="leadership"/>
    <n v="4"/>
    <n v="3"/>
    <n v="4"/>
    <s v="no"/>
    <n v="3"/>
    <s v="no"/>
    <s v=""/>
    <s v=""/>
    <n v="21.4"/>
    <x v="0"/>
    <x v="1"/>
    <s v="Leadership"/>
    <s v="UNMAPPED"/>
  </r>
  <r>
    <s v="SUB-0130"/>
    <s v="SYN-0130"/>
    <s v="yes"/>
    <s v="1.0.0"/>
    <s v="ROUND_2"/>
    <d v="2025-08-26T00:00:00"/>
    <d v="2025-06-18T00:00:00"/>
    <s v="NORTH"/>
    <s v="N02"/>
    <s v="ENUM_03"/>
    <s v="yes"/>
    <s v="18_24"/>
    <s v="man"/>
    <n v="5"/>
    <s v="no"/>
    <s v="no"/>
    <m/>
    <s v=""/>
    <m/>
    <m/>
    <m/>
    <s v=""/>
    <n v="4"/>
    <s v="no"/>
    <s v=""/>
    <s v=""/>
    <n v="23.5"/>
    <x v="0"/>
    <x v="0"/>
    <s v="UNMAPPED"/>
    <s v="UNMAPPED"/>
  </r>
  <r>
    <s v="SUB-0302"/>
    <s v="SYN-0302"/>
    <s v="yes"/>
    <s v="1.0.0"/>
    <s v="ROUND_1"/>
    <d v="2025-06-01T00:00:00"/>
    <d v="2025-02-21T00:00:00"/>
    <s v="WEST"/>
    <s v="W03"/>
    <s v="ENUM_05"/>
    <s v="yes"/>
    <s v="25_34"/>
    <s v="woman"/>
    <n v="5"/>
    <s v="no"/>
    <s v="yes"/>
    <d v="2025-05-19T00:00:00"/>
    <s v="planning"/>
    <n v="4"/>
    <n v="1"/>
    <n v="2"/>
    <s v="yes"/>
    <n v="5"/>
    <s v="yes"/>
    <s v="community_meeting"/>
    <s v=""/>
    <n v="16.7"/>
    <x v="1"/>
    <x v="1"/>
    <s v="Planning"/>
    <s v="Community meeting"/>
  </r>
  <r>
    <s v="SUB-0362"/>
    <s v="SYN-0362"/>
    <s v="yes"/>
    <s v="1.0.0"/>
    <s v="ROUND_2"/>
    <d v="2025-07-13T00:00:00"/>
    <d v="2025-05-07T00:00:00"/>
    <s v="WEST"/>
    <s v="W03"/>
    <s v="ENUM_06"/>
    <s v="yes"/>
    <s v="25_34"/>
    <s v="man"/>
    <n v="3"/>
    <s v="no"/>
    <s v="yes"/>
    <d v="2025-06-09T00:00:00"/>
    <s v="financial_skills"/>
    <n v="5"/>
    <n v="1"/>
    <n v="1"/>
    <s v="yes"/>
    <n v="4"/>
    <s v="yes"/>
    <s v="community_meeting"/>
    <s v="The activity should start earlier so participants can travel home safely."/>
    <n v="21.1"/>
    <x v="1"/>
    <x v="0"/>
    <s v="Financial skills"/>
    <s v="Community meeting"/>
  </r>
  <r>
    <s v="SUB-0204"/>
    <s v="SYN-0204"/>
    <s v="yes"/>
    <s v="1.0.0"/>
    <s v="ROUND_1"/>
    <d v="2025-06-20T00:00:00"/>
    <d v="2025-02-07T00:00:00"/>
    <s v="NORTH"/>
    <s v="N01"/>
    <s v="ENUM_05"/>
    <s v="yes"/>
    <s v="35_44"/>
    <s v="man"/>
    <n v="3"/>
    <s v="no"/>
    <s v="yes"/>
    <d v="2025-05-28T00:00:00"/>
    <s v="financial_skills"/>
    <n v="3"/>
    <n v="4"/>
    <n v="5"/>
    <s v="yes"/>
    <n v="5"/>
    <s v="no"/>
    <s v=""/>
    <s v=""/>
    <n v="17.7"/>
    <x v="0"/>
    <x v="1"/>
    <s v="Financial skills"/>
    <s v="UNMAPPED"/>
  </r>
  <r>
    <s v="SUB-0139"/>
    <s v="SYN-0139"/>
    <s v="yes"/>
    <s v="1.0.0"/>
    <s v="ROUND_1"/>
    <d v="2025-04-10T00:00:00"/>
    <d v="2024-12-25T00:00:00"/>
    <s v="WEST"/>
    <s v="W02"/>
    <s v="ENUM_03"/>
    <s v="yes"/>
    <s v="55_plus"/>
    <s v="woman"/>
    <n v="9"/>
    <s v="no"/>
    <s v="yes"/>
    <d v="2025-01-24T00:00:00"/>
    <s v="digital_skills"/>
    <n v="4"/>
    <n v="3"/>
    <n v="4"/>
    <s v="no"/>
    <n v="4"/>
    <s v="no"/>
    <s v=""/>
    <s v=""/>
    <n v="26.7"/>
    <x v="1"/>
    <x v="1"/>
    <s v="Digital skills"/>
    <s v="UNMAPPED"/>
  </r>
  <r>
    <s v="SUB-0221"/>
    <s v="SYN-0221"/>
    <s v="yes"/>
    <s v="1.0.0"/>
    <s v="ROUND_1"/>
    <d v="2025-07-10T00:00:00"/>
    <d v="2025-05-28T00:00:00"/>
    <s v="EAST"/>
    <s v="E03"/>
    <s v="ENUM_07"/>
    <s v="yes"/>
    <s v="25_34"/>
    <s v="woman"/>
    <n v="4"/>
    <s v="no"/>
    <s v="yes"/>
    <d v="2025-07-08T00:00:00"/>
    <s v="planning"/>
    <n v="5"/>
    <n v="2"/>
    <n v="2"/>
    <s v="yes"/>
    <n v="5"/>
    <s v="no"/>
    <s v=""/>
    <s v=""/>
    <n v="17.399999999999999"/>
    <x v="2"/>
    <x v="1"/>
    <s v="Planning"/>
    <s v="UNMAPPED"/>
  </r>
  <r>
    <s v="SUB-0285"/>
    <s v="SYN-0285"/>
    <s v="yes"/>
    <s v="1.0.0"/>
    <s v="ROUND_2"/>
    <d v="2025-08-28T00:00:00"/>
    <d v="2025-05-24T00:00:00"/>
    <s v="NORTH"/>
    <s v="N01"/>
    <s v="ENUM_01"/>
    <s v="yes"/>
    <s v="25_34"/>
    <s v="man"/>
    <n v="3"/>
    <s v="no"/>
    <s v="yes"/>
    <d v="2025-08-23T00:00:00"/>
    <s v="digital_skills"/>
    <n v="4"/>
    <n v="3"/>
    <n v="4"/>
    <s v="no"/>
    <n v="5"/>
    <s v="yes"/>
    <s v="radio"/>
    <s v=""/>
    <n v="18.399999999999999"/>
    <x v="0"/>
    <x v="0"/>
    <s v="Digital skills"/>
    <s v="Radio"/>
  </r>
  <r>
    <s v="SUB-0387"/>
    <s v="SYN-0387"/>
    <s v="yes"/>
    <s v="1.0.0"/>
    <s v="ROUND_1"/>
    <d v="2025-06-29T00:00:00"/>
    <d v="2025-03-09T00:00:00"/>
    <s v="EAST"/>
    <s v="E01"/>
    <s v="ENUM_03"/>
    <s v="yes"/>
    <s v="45_54"/>
    <s v="woman"/>
    <n v="3"/>
    <s v="no"/>
    <s v="yes"/>
    <d v="2025-06-13T00:00:00"/>
    <s v="leadership"/>
    <n v="5"/>
    <n v="1"/>
    <n v="2"/>
    <s v="yes"/>
    <n v="4"/>
    <s v="no"/>
    <s v=""/>
    <s v="The session was useful, but the timing conflicted with other responsibilities."/>
    <n v="23.6"/>
    <x v="2"/>
    <x v="1"/>
    <s v="Leadership"/>
    <s v="UNMAPPED"/>
  </r>
  <r>
    <s v="SUB-0303"/>
    <s v="SYN-0303"/>
    <s v="yes"/>
    <s v="1.0.0"/>
    <s v="ROUND_2"/>
    <d v="2025-07-10T00:00:00"/>
    <d v="2025-04-21T00:00:00"/>
    <s v="NORTH"/>
    <s v="N03"/>
    <s v="ENUM_05"/>
    <s v="yes"/>
    <s v="25_34"/>
    <s v="man"/>
    <n v="6"/>
    <s v="no"/>
    <s v="yes"/>
    <d v="2025-06-16T00:00:00"/>
    <s v="planning"/>
    <n v="2"/>
    <n v="3"/>
    <n v="4"/>
    <s v="yes"/>
    <n v="5"/>
    <s v="no"/>
    <s v=""/>
    <s v=""/>
    <n v="7.7"/>
    <x v="0"/>
    <x v="0"/>
    <s v="Planning"/>
    <s v="UNMAPPED"/>
  </r>
  <r>
    <s v="SUB-0133"/>
    <s v="SYN-0133"/>
    <s v="yes"/>
    <s v="1.0.0"/>
    <s v="ROUND_2"/>
    <d v="2025-05-27T00:00:00"/>
    <d v="2025-02-19T00:00:00"/>
    <s v="SOUTH"/>
    <s v="S01"/>
    <s v="ENUM_08"/>
    <s v="yes"/>
    <s v="45_54"/>
    <s v="woman"/>
    <n v="7"/>
    <s v="yes"/>
    <s v="yes"/>
    <d v="2025-04-08T00:00:00"/>
    <s v="leadership"/>
    <n v="4"/>
    <n v="4"/>
    <n v="5"/>
    <s v="yes"/>
    <n v="2"/>
    <s v="no"/>
    <s v=""/>
    <s v=""/>
    <n v="20"/>
    <x v="4"/>
    <x v="0"/>
    <s v="Leadership"/>
    <s v="UNMAPPED"/>
  </r>
  <r>
    <s v="SUB-0288"/>
    <s v="SYN-0288"/>
    <s v="yes"/>
    <s v="1.0.0"/>
    <s v="ROUND_1"/>
    <d v="2025-05-08T00:00:00"/>
    <d v="2024-12-28T00:00:00"/>
    <s v="EAST"/>
    <s v="E02"/>
    <s v="ENUM_02"/>
    <s v="yes"/>
    <s v="35_44"/>
    <s v="woman"/>
    <n v="9"/>
    <s v="no"/>
    <s v="no"/>
    <m/>
    <s v=""/>
    <m/>
    <m/>
    <m/>
    <s v=""/>
    <n v="4"/>
    <s v="no"/>
    <s v="radio"/>
    <s v=""/>
    <n v="19.600000000000001"/>
    <x v="2"/>
    <x v="1"/>
    <s v="UNMAPPED"/>
    <s v="Radio"/>
  </r>
  <r>
    <s v="SUB-0014"/>
    <s v="SYN-0014"/>
    <s v="yes"/>
    <s v="1.0.0"/>
    <s v="ROUND_2"/>
    <d v="2025-06-29T00:00:00"/>
    <d v="2025-02-26T00:00:00"/>
    <s v="SOUTH"/>
    <s v="S02"/>
    <s v="ENUM_04"/>
    <s v="yes"/>
    <s v="35_44"/>
    <s v="man"/>
    <n v="6"/>
    <s v="yes"/>
    <s v="yes"/>
    <d v="2025-05-31T00:00:00"/>
    <s v="digital_skills"/>
    <n v="4"/>
    <n v="1"/>
    <n v="3"/>
    <s v="no"/>
    <n v="1"/>
    <s v="no"/>
    <s v=""/>
    <s v=""/>
    <n v="8.8000000000000007"/>
    <x v="4"/>
    <x v="0"/>
    <s v="Digital skills"/>
    <s v="UNMAPPED"/>
  </r>
  <r>
    <s v="SUB-0200"/>
    <s v="SYN-0200"/>
    <s v="yes"/>
    <s v="1.0.0"/>
    <s v="ROUND_1"/>
    <d v="2025-06-02T00:00:00"/>
    <d v="2025-04-29T00:00:00"/>
    <s v="WEST"/>
    <s v="W03"/>
    <s v="ENUM_06"/>
    <s v="yes"/>
    <s v="25_34"/>
    <s v="woman"/>
    <n v="5"/>
    <s v="no"/>
    <s v="no"/>
    <m/>
    <s v=""/>
    <m/>
    <m/>
    <m/>
    <s v=""/>
    <n v="5"/>
    <s v="no"/>
    <s v=""/>
    <s v=""/>
    <n v="16.2"/>
    <x v="1"/>
    <x v="1"/>
    <s v="UNMAPPED"/>
    <s v="UNMAPPED"/>
  </r>
  <r>
    <s v="SUB-0093"/>
    <s v="SYN-0093"/>
    <s v="yes"/>
    <s v="1.0.0"/>
    <s v="ROUND_2"/>
    <d v="2025-08-05T00:00:00"/>
    <d v="2025-04-26T00:00:00"/>
    <s v="NORTH"/>
    <s v="N02"/>
    <s v="ENUM_02"/>
    <s v="yes"/>
    <s v="18_24"/>
    <s v="woman"/>
    <n v="11"/>
    <s v="no"/>
    <s v="no"/>
    <m/>
    <s v=""/>
    <m/>
    <m/>
    <m/>
    <s v=""/>
    <n v="4"/>
    <s v="no"/>
    <s v=""/>
    <s v=""/>
    <n v="20.5"/>
    <x v="0"/>
    <x v="0"/>
    <s v="UNMAPPED"/>
    <s v="UNMAPPED"/>
  </r>
  <r>
    <s v="SUB-0334"/>
    <s v="SYN-0334"/>
    <s v="yes"/>
    <s v="1.0.0"/>
    <s v="ROUND_1"/>
    <d v="2025-07-02T00:00:00"/>
    <d v="2025-02-06T00:00:00"/>
    <s v="NORTH"/>
    <s v="N02"/>
    <s v="ENUM_08"/>
    <s v="yes"/>
    <s v="55_plus"/>
    <s v="woman"/>
    <n v="7"/>
    <s v="no"/>
    <s v="yes"/>
    <d v="2025-05-12T00:00:00"/>
    <s v="financial_skills"/>
    <n v="3"/>
    <n v="4"/>
    <n v="5"/>
    <s v="yes"/>
    <n v="4"/>
    <s v="yes"/>
    <s v="printed_material"/>
    <s v=""/>
    <n v="22.3"/>
    <x v="0"/>
    <x v="1"/>
    <s v="Financial skills"/>
    <s v="Printed material"/>
  </r>
  <r>
    <s v="SUB-0185"/>
    <s v="SYN-0185"/>
    <s v="yes"/>
    <s v="1.0.0"/>
    <s v="ROUND_2"/>
    <d v="2025-04-25T00:00:00"/>
    <d v="2025-03-26T00:00:00"/>
    <s v="NORTH"/>
    <s v="N03"/>
    <s v="ENUM_01"/>
    <s v="yes"/>
    <s v="35_44"/>
    <s v="woman"/>
    <n v="3"/>
    <s v="yes"/>
    <s v="no"/>
    <m/>
    <s v=""/>
    <m/>
    <m/>
    <m/>
    <s v=""/>
    <n v="2"/>
    <s v="no"/>
    <s v=""/>
    <s v=""/>
    <n v="24.7"/>
    <x v="0"/>
    <x v="0"/>
    <s v="UNMAPPED"/>
    <s v="UNMAPPED"/>
  </r>
  <r>
    <s v="SUB-0039"/>
    <s v="SYN-0039"/>
    <s v="yes"/>
    <s v="1.0.0"/>
    <s v="ROUND_2"/>
    <d v="2025-09-13T00:00:00"/>
    <d v="2025-07-05T00:00:00"/>
    <s v="SOUTH"/>
    <s v="S03"/>
    <s v="ENUM_07"/>
    <s v="yes"/>
    <s v="45_54"/>
    <s v="woman"/>
    <n v="5"/>
    <s v="no"/>
    <s v="yes"/>
    <d v="2025-08-04T00:00:00"/>
    <s v="financial_skills"/>
    <n v="4"/>
    <n v="3"/>
    <n v="4"/>
    <s v="yes"/>
    <n v="3"/>
    <s v="yes"/>
    <s v="printed_material"/>
    <s v=""/>
    <n v="21.3"/>
    <x v="4"/>
    <x v="0"/>
    <s v="Financial skills"/>
    <s v="Printed material"/>
  </r>
  <r>
    <s v="SUB-0355"/>
    <s v="SYN-0355"/>
    <s v="yes"/>
    <s v="1.0.0"/>
    <s v="ROUND_2"/>
    <d v="2025-07-28T00:00:00"/>
    <d v="2025-05-21T00:00:00"/>
    <s v="WEST"/>
    <s v="W01"/>
    <s v="ENUM_05"/>
    <s v="yes"/>
    <s v="18_24"/>
    <s v="woman"/>
    <n v="2"/>
    <s v="no"/>
    <s v="yes"/>
    <d v="2025-07-05T00:00:00"/>
    <s v="financial_skills"/>
    <n v="4"/>
    <n v="3"/>
    <n v="4"/>
    <s v="yes"/>
    <n v="3"/>
    <s v="no"/>
    <s v=""/>
    <s v=""/>
    <n v="20.5"/>
    <x v="1"/>
    <x v="0"/>
    <s v="Financial skills"/>
    <s v="UNMAPPED"/>
  </r>
  <r>
    <s v="SUB-0352"/>
    <s v="SYN-0352"/>
    <s v="yes"/>
    <s v="1.0.0"/>
    <s v="ROUND_2"/>
    <d v="2025-05-07T00:00:00"/>
    <d v="2025-01-17T00:00:00"/>
    <s v="SOUTH"/>
    <s v="S03"/>
    <s v="ENUM_06"/>
    <s v="yes"/>
    <s v="45_54"/>
    <s v="man"/>
    <n v="8"/>
    <s v="no"/>
    <s v="yes"/>
    <d v="2025-02-10T00:00:00"/>
    <s v="planning"/>
    <n v="4"/>
    <n v="4"/>
    <n v="5"/>
    <s v="no"/>
    <n v="4"/>
    <s v="no"/>
    <s v=""/>
    <s v=""/>
    <n v="25.8"/>
    <x v="4"/>
    <x v="0"/>
    <s v="Planning"/>
    <s v="UNMAPPED"/>
  </r>
  <r>
    <s v="SUB-0166"/>
    <s v="SYN-0166"/>
    <s v="yes"/>
    <s v="1.0.0"/>
    <s v="ROUND_2"/>
    <d v="2025-09-01T00:00:00"/>
    <d v="2025-04-24T00:00:00"/>
    <s v="EAST"/>
    <s v="E02"/>
    <s v="ENUM_07"/>
    <s v="yes"/>
    <s v="18_24"/>
    <s v="prefer_not"/>
    <n v="5"/>
    <s v="no"/>
    <s v="yes"/>
    <d v="2025-06-05T00:00:00"/>
    <s v="financial_skills"/>
    <n v="4"/>
    <n v="4"/>
    <n v="4"/>
    <s v="yes"/>
    <n v="3"/>
    <s v="yes"/>
    <s v="radio"/>
    <s v=""/>
    <n v="23.3"/>
    <x v="2"/>
    <x v="0"/>
    <s v="Financial skills"/>
    <s v="Radio"/>
  </r>
  <r>
    <s v="SUB-0087"/>
    <s v="SYN-0087"/>
    <s v="yes"/>
    <s v="1.0.0"/>
    <s v="ROUND_2"/>
    <d v="2025-06-08T00:00:00"/>
    <d v="2025-01-26T00:00:00"/>
    <s v="WEST"/>
    <s v="W02"/>
    <s v="ENUM_05"/>
    <s v="yes"/>
    <s v="55_plus"/>
    <s v="man"/>
    <n v="8"/>
    <s v="no"/>
    <s v="yes"/>
    <d v="2025-03-02T00:00:00"/>
    <s v="digital_skills"/>
    <n v="4"/>
    <n v="4"/>
    <n v="4"/>
    <s v="yes"/>
    <n v="2"/>
    <s v="yes"/>
    <s v="radio"/>
    <s v="I would like more examples about budgeting and record keeping."/>
    <n v="19.2"/>
    <x v="1"/>
    <x v="0"/>
    <s v="Digital skills"/>
    <s v="Radio"/>
  </r>
  <r>
    <s v="SUB-0350"/>
    <s v="SYN-0350"/>
    <s v="yes"/>
    <s v="1.0.0"/>
    <s v="ROUND_2"/>
    <d v="2025-07-12T00:00:00"/>
    <d v="2025-03-27T00:00:00"/>
    <s v="NORTH"/>
    <s v="N02"/>
    <s v="ENUM_03"/>
    <s v="yes"/>
    <s v="25_34"/>
    <s v="woman"/>
    <n v="5"/>
    <s v="no"/>
    <s v="yes"/>
    <d v="2025-06-07T00:00:00"/>
    <s v="planning"/>
    <n v="5"/>
    <n v="4"/>
    <n v="5"/>
    <s v="no"/>
    <n v="3"/>
    <s v="no"/>
    <s v=""/>
    <s v=""/>
    <n v="16.399999999999999"/>
    <x v="0"/>
    <x v="0"/>
    <s v="Planning"/>
    <s v="UNMAPPED"/>
  </r>
  <r>
    <s v="SUB-0151"/>
    <s v="SYN-0151"/>
    <s v="yes"/>
    <s v="1.0.0"/>
    <s v="ROUND_1"/>
    <d v="2025-09-17T00:00:00"/>
    <d v="2025-06-11T00:00:00"/>
    <s v="WEST"/>
    <s v="W03"/>
    <s v="ENUM_03"/>
    <s v="yes"/>
    <s v="25_34"/>
    <s v="man"/>
    <n v="2"/>
    <s v="no"/>
    <s v="yes"/>
    <d v="2025-06-13T00:00:00"/>
    <s v="digital_skills"/>
    <n v="3"/>
    <n v="4"/>
    <n v="5"/>
    <s v="yes"/>
    <n v="5"/>
    <s v="yes"/>
    <s v="printed_material"/>
    <s v=""/>
    <n v="13.6"/>
    <x v="1"/>
    <x v="1"/>
    <s v="Digital skills"/>
    <s v="Printed material"/>
  </r>
  <r>
    <s v="SUB-0184"/>
    <s v="SYN-0184"/>
    <s v="yes"/>
    <s v="1.0.0"/>
    <s v="ROUND_2"/>
    <d v="2025-04-03T00:00:00"/>
    <d v="2025-02-24T00:00:00"/>
    <s v="WEST"/>
    <s v="W03"/>
    <s v="ENUM_03"/>
    <s v="yes"/>
    <s v="35_44"/>
    <s v="woman"/>
    <n v="7"/>
    <s v="no"/>
    <s v="yes"/>
    <d v="2025-02-24T00:00:00"/>
    <s v="planning"/>
    <n v="5"/>
    <n v="1"/>
    <n v="3"/>
    <s v="yes"/>
    <n v="4"/>
    <s v="no"/>
    <s v=""/>
    <s v=""/>
    <n v="17.3"/>
    <x v="1"/>
    <x v="0"/>
    <s v="Planning"/>
    <s v="UNMAPPED"/>
  </r>
  <r>
    <s v="SUB-0106"/>
    <s v="SYN-0106"/>
    <s v="yes"/>
    <s v="1.0.0"/>
    <s v="ROUND_2"/>
    <d v="2025-07-15T00:00:00"/>
    <d v="2025-03-15T00:00:00"/>
    <s v="SOUTH"/>
    <s v="S01"/>
    <s v="ENUM_01"/>
    <s v="yes"/>
    <s v="35_44"/>
    <s v="woman"/>
    <n v="9"/>
    <s v="no"/>
    <s v="yes"/>
    <d v="2025-04-10T00:00:00"/>
    <s v="planning"/>
    <n v="1"/>
    <n v="2"/>
    <n v="4"/>
    <s v="yes"/>
    <n v="4"/>
    <s v="no"/>
    <s v=""/>
    <s v=""/>
    <n v="26.6"/>
    <x v="4"/>
    <x v="0"/>
    <s v="Planning"/>
    <s v="UNMAPPED"/>
  </r>
  <r>
    <s v="SUB-0058"/>
    <s v="SYN-0058"/>
    <s v="yes"/>
    <s v="1.0.0"/>
    <s v="ROUND_2"/>
    <d v="2025-08-31T00:00:00"/>
    <d v="2025-04-24T00:00:00"/>
    <s v="SOUTH"/>
    <s v="S03"/>
    <s v="ENUM_01"/>
    <s v="yes"/>
    <s v="25_34"/>
    <s v="woman"/>
    <n v="3"/>
    <s v="no"/>
    <s v="no"/>
    <m/>
    <s v=""/>
    <m/>
    <m/>
    <m/>
    <s v=""/>
    <n v="5"/>
    <s v="no"/>
    <s v=""/>
    <s v=""/>
    <n v="16.899999999999999"/>
    <x v="4"/>
    <x v="0"/>
    <s v="UNMAPPED"/>
    <s v="UNMAPPED"/>
  </r>
  <r>
    <s v="SUB-0258"/>
    <s v="SYN-0258"/>
    <s v="yes"/>
    <s v="1.0.0"/>
    <s v="ROUND_2"/>
    <d v="2025-05-28T00:00:00"/>
    <d v="2025-04-04T00:00:00"/>
    <s v="EAST"/>
    <s v="E02"/>
    <s v="ENUM_01"/>
    <s v="yes"/>
    <s v="25_34"/>
    <s v="man"/>
    <n v="3"/>
    <s v="no"/>
    <s v="yes"/>
    <d v="2025-04-25T00:00:00"/>
    <s v="leadership"/>
    <n v="5"/>
    <n v="2"/>
    <n v="3"/>
    <s v="yes"/>
    <n v="4"/>
    <s v="no"/>
    <s v=""/>
    <s v="The session was useful, but the timing conflicted with other responsibilities."/>
    <n v="5.6"/>
    <x v="2"/>
    <x v="0"/>
    <s v="Leadership"/>
    <s v="UNMAPPED"/>
  </r>
  <r>
    <s v="SUB-0051"/>
    <s v="SYN-0051"/>
    <s v="yes"/>
    <s v="1.0.0"/>
    <s v="ROUND_1"/>
    <d v="2025-05-30T00:00:00"/>
    <d v="2025-01-16T00:00:00"/>
    <s v="EAST"/>
    <s v="E01"/>
    <s v="ENUM_01"/>
    <s v="yes"/>
    <s v="45_54"/>
    <s v="woman"/>
    <n v="3"/>
    <s v="no"/>
    <s v="no"/>
    <m/>
    <s v=""/>
    <m/>
    <m/>
    <m/>
    <s v=""/>
    <n v="1"/>
    <s v="no"/>
    <s v=""/>
    <s v=""/>
    <n v="11"/>
    <x v="2"/>
    <x v="1"/>
    <s v="UNMAPPED"/>
    <s v="UNMAPPED"/>
  </r>
  <r>
    <s v="SUB-0078"/>
    <s v="SYN-0078"/>
    <s v="yes"/>
    <s v="1.0.0"/>
    <s v="ROUND_2"/>
    <d v="2025-05-02T00:00:00"/>
    <d v="2025-01-06T00:00:00"/>
    <s v="WEST"/>
    <s v="W03"/>
    <s v="ENUM_03"/>
    <s v="yes"/>
    <s v="25_34"/>
    <s v="man"/>
    <n v="4"/>
    <s v="no"/>
    <s v="yes"/>
    <d v="2025-04-25T00:00:00"/>
    <s v="digital_skills"/>
    <n v="3"/>
    <n v="2"/>
    <n v="4"/>
    <s v="yes"/>
    <n v="5"/>
    <s v="no"/>
    <s v=""/>
    <s v=""/>
    <n v="24.4"/>
    <x v="1"/>
    <x v="0"/>
    <s v="Digital skills"/>
    <s v="UNMAPPED"/>
  </r>
  <r>
    <s v="SUB-0266"/>
    <s v="SYN-0266"/>
    <s v="yes"/>
    <s v="1.0.0"/>
    <s v="ROUND_1"/>
    <d v="2025-09-09T00:00:00"/>
    <d v="2025-06-24T00:00:00"/>
    <s v="SOUTH"/>
    <s v="S02"/>
    <s v="ENUM_02"/>
    <s v="yes"/>
    <s v="35_44"/>
    <s v="woman"/>
    <n v="6"/>
    <s v="yes"/>
    <s v="no"/>
    <m/>
    <s v=""/>
    <m/>
    <m/>
    <m/>
    <s v=""/>
    <n v="5"/>
    <s v="no"/>
    <s v=""/>
    <s v=""/>
    <n v="21.2"/>
    <x v="4"/>
    <x v="1"/>
    <s v="UNMAPPED"/>
    <s v="UNMAPPED"/>
  </r>
  <r>
    <s v="SUB-0254"/>
    <s v="SYN-0254"/>
    <s v="yes"/>
    <s v="1.0.0"/>
    <s v="ROUND_2"/>
    <d v="2025-06-12T00:00:00"/>
    <d v="2025-04-21T00:00:00"/>
    <s v="NORTH"/>
    <s v="N03"/>
    <s v="ENUM_08"/>
    <s v="yes"/>
    <s v="55_plus"/>
    <s v="man"/>
    <n v="5"/>
    <s v="no"/>
    <s v="no"/>
    <m/>
    <s v=""/>
    <m/>
    <m/>
    <m/>
    <s v=""/>
    <n v="4"/>
    <s v="yes"/>
    <s v="printed_material"/>
    <s v=""/>
    <n v="4"/>
    <x v="0"/>
    <x v="0"/>
    <s v="UNMAPPED"/>
    <s v="Printed material"/>
  </r>
  <r>
    <s v="SUB-0269"/>
    <s v="SYN-0269"/>
    <s v="yes"/>
    <s v="1.0.0"/>
    <s v="ROUND_2"/>
    <d v="2025-04-09T00:00:00"/>
    <d v="2025-01-28T00:00:00"/>
    <s v="WEST"/>
    <s v="W01"/>
    <s v="ENUM_08"/>
    <s v="yes"/>
    <s v="35_44"/>
    <s v="man"/>
    <n v="3"/>
    <s v="no"/>
    <s v="yes"/>
    <d v="2025-03-26T00:00:00"/>
    <s v="leadership"/>
    <n v="4"/>
    <n v="3"/>
    <n v="4"/>
    <s v="yes"/>
    <n v="4"/>
    <s v="no"/>
    <s v=""/>
    <s v=""/>
    <n v="22.8"/>
    <x v="1"/>
    <x v="0"/>
    <s v="Leadership"/>
    <s v="UNMAPPED"/>
  </r>
  <r>
    <s v="SUB-0153"/>
    <s v="SYN-0153"/>
    <s v="yes"/>
    <s v="1.0.0"/>
    <s v="ROUND_1"/>
    <d v="2025-04-22T00:00:00"/>
    <d v="2024-11-30T00:00:00"/>
    <s v="SOUTH"/>
    <s v="S03"/>
    <s v="ENUM_07"/>
    <s v="yes"/>
    <s v="18_24"/>
    <s v="man"/>
    <n v="3"/>
    <s v="no"/>
    <s v="yes"/>
    <d v="2025-01-14T00:00:00"/>
    <s v="planning"/>
    <n v="5"/>
    <n v="2"/>
    <n v="3"/>
    <s v="no"/>
    <n v="1"/>
    <s v="yes"/>
    <s v="radio"/>
    <s v="The facilitator explained the topic clearly and respectfully."/>
    <n v="21"/>
    <x v="4"/>
    <x v="1"/>
    <s v="Planning"/>
    <s v="Radio"/>
  </r>
  <r>
    <s v="SUB-0084"/>
    <s v="SYN-0084"/>
    <s v="yes"/>
    <s v="1.0.0"/>
    <s v="ROUND_2"/>
    <d v="2025-06-19T00:00:00"/>
    <d v="2025-02-19T00:00:00"/>
    <s v="EAST"/>
    <s v="E02"/>
    <s v="ENUM_04"/>
    <s v="yes"/>
    <s v="18_24"/>
    <s v="man"/>
    <n v="5"/>
    <s v="no"/>
    <s v="no"/>
    <m/>
    <s v=""/>
    <m/>
    <m/>
    <m/>
    <s v=""/>
    <n v="4"/>
    <s v="no"/>
    <s v=""/>
    <s v=""/>
    <n v="19.5"/>
    <x v="2"/>
    <x v="0"/>
    <s v="UNMAPPED"/>
    <s v="UNMAPPED"/>
  </r>
  <r>
    <s v="SUB-0268"/>
    <s v="SYN-0268"/>
    <s v="yes"/>
    <s v="1.0.0"/>
    <s v="ROUND_2"/>
    <d v="2025-07-08T00:00:00"/>
    <d v="2025-03-07T00:00:00"/>
    <s v="SOUTH"/>
    <s v="S03"/>
    <s v="ENUM_03"/>
    <s v="yes"/>
    <s v="25_34"/>
    <s v="unknown_code"/>
    <n v="7"/>
    <s v="no"/>
    <s v="yes"/>
    <d v="2025-06-22T00:00:00"/>
    <s v="digital_skills"/>
    <n v="3"/>
    <n v="3"/>
    <n v="4"/>
    <s v="no"/>
    <n v="4"/>
    <s v="no"/>
    <s v=""/>
    <s v=""/>
    <n v="15.7"/>
    <x v="4"/>
    <x v="0"/>
    <s v="Digital skills"/>
    <s v="UNMAPPED"/>
  </r>
  <r>
    <s v="SUB-0307"/>
    <s v="SYN-0307"/>
    <s v="yes"/>
    <s v="1.0.0"/>
    <s v="ROUND_2"/>
    <d v="2025-08-04T00:00:00"/>
    <d v="2025-07-01T00:00:00"/>
    <s v="SOUTH"/>
    <s v="S03"/>
    <s v="ENUM_01"/>
    <s v="yes"/>
    <s v="25_34"/>
    <s v="man"/>
    <n v="5"/>
    <s v="no"/>
    <s v="no"/>
    <m/>
    <s v=""/>
    <m/>
    <m/>
    <m/>
    <s v=""/>
    <n v="4"/>
    <s v="no"/>
    <s v=""/>
    <s v=""/>
    <n v="21.1"/>
    <x v="4"/>
    <x v="0"/>
    <s v="UNMAPPED"/>
    <s v="UNMAPPED"/>
  </r>
  <r>
    <s v="SUB-0301"/>
    <s v="SYN-0301"/>
    <s v="yes"/>
    <s v="1.0.0"/>
    <s v="ROUND_2"/>
    <d v="2025-08-13T00:00:00"/>
    <d v="2025-06-09T00:00:00"/>
    <s v="NORTH"/>
    <s v="N02"/>
    <s v="ENUM_04"/>
    <s v="yes"/>
    <s v="25_34"/>
    <s v="woman"/>
    <n v="4"/>
    <s v="no"/>
    <s v="yes"/>
    <d v="2025-06-29T00:00:00"/>
    <s v="financial_skills"/>
    <n v="4"/>
    <n v="1"/>
    <n v="2"/>
    <s v="yes"/>
    <n v="4"/>
    <s v="yes"/>
    <s v="community_meeting"/>
    <s v=""/>
    <n v="17.7"/>
    <x v="0"/>
    <x v="0"/>
    <s v="Financial skills"/>
    <s v="Community meeting"/>
  </r>
  <r>
    <s v="SUB-0395"/>
    <s v="SYN-0395"/>
    <s v="yes"/>
    <s v="1.0.0"/>
    <s v="ROUND_2"/>
    <d v="2025-06-03T00:00:00"/>
    <d v="2025-04-28T00:00:00"/>
    <s v="EAST"/>
    <s v="E03"/>
    <s v="ENUM_01"/>
    <s v="yes"/>
    <s v="35_44"/>
    <s v="woman"/>
    <n v="9"/>
    <s v="no"/>
    <s v="yes"/>
    <d v="2025-06-03T00:00:00"/>
    <s v="digital_skills"/>
    <n v="4"/>
    <n v="4"/>
    <n v="5"/>
    <s v="yes"/>
    <n v="3"/>
    <s v="no"/>
    <s v=""/>
    <s v=""/>
    <n v="23.1"/>
    <x v="2"/>
    <x v="0"/>
    <s v="Digital skills"/>
    <s v="UNMAPPED"/>
  </r>
  <r>
    <s v="SUB-0187"/>
    <s v="SYN-0187"/>
    <s v="yes"/>
    <s v="1.0.0"/>
    <s v="ROUND_2"/>
    <d v="2025-06-23T00:00:00"/>
    <d v="2025-03-15T00:00:00"/>
    <s v="EAST"/>
    <s v="E01"/>
    <s v="ENUM_05"/>
    <s v="yes"/>
    <s v="35_44"/>
    <s v="man"/>
    <n v="5"/>
    <s v="yes"/>
    <s v="yes"/>
    <d v="2025-04-08T00:00:00"/>
    <s v="financial_skills"/>
    <n v="4"/>
    <n v="4"/>
    <n v="5"/>
    <s v="yes"/>
    <n v="2"/>
    <s v="yes"/>
    <s v="radio"/>
    <s v="The session was useful, but the timing conflicted with other responsibilities."/>
    <n v="12.4"/>
    <x v="2"/>
    <x v="0"/>
    <s v="Financial skills"/>
    <s v="Radio"/>
  </r>
  <r>
    <s v="SUB-0253"/>
    <s v="SYN-0253"/>
    <s v="yes"/>
    <s v="1.0.0"/>
    <s v="ROUND_1"/>
    <d v="2025-07-13T00:00:00"/>
    <d v="2025-05-22T00:00:00"/>
    <s v="NORTH"/>
    <s v="N02"/>
    <s v="ENUM_06"/>
    <s v="yes"/>
    <s v="18_24"/>
    <s v="woman"/>
    <n v="5"/>
    <s v="no"/>
    <s v="no"/>
    <m/>
    <s v=""/>
    <m/>
    <m/>
    <m/>
    <s v=""/>
    <n v="4"/>
    <s v="no"/>
    <s v=""/>
    <s v=""/>
    <n v="24.6"/>
    <x v="0"/>
    <x v="1"/>
    <s v="UNMAPPED"/>
    <s v="UNMAPPED"/>
  </r>
  <r>
    <s v="SUB-0118"/>
    <s v="SYN-0118"/>
    <s v="yes"/>
    <s v="1.0.0"/>
    <s v="ROUND_2"/>
    <d v="2025-06-15T00:00:00"/>
    <d v="2025-05-09T00:00:00"/>
    <s v="NORTH"/>
    <s v="N01"/>
    <s v="ENUM_04"/>
    <s v="yes"/>
    <s v="18_24"/>
    <s v="woman"/>
    <n v="5"/>
    <s v="no"/>
    <s v="yes"/>
    <d v="2025-05-29T00:00:00"/>
    <s v="digital_skills"/>
    <n v="3"/>
    <n v="4"/>
    <n v="4"/>
    <s v="yes"/>
    <n v="5"/>
    <s v="no"/>
    <s v=""/>
    <s v="The activity should start earlier so participants can travel home safely."/>
    <n v="12.9"/>
    <x v="0"/>
    <x v="0"/>
    <s v="Digital skills"/>
    <s v="UNMAPPED"/>
  </r>
  <r>
    <s v="SUB-0397"/>
    <s v="SYN-0397"/>
    <s v="yes"/>
    <s v="1.0.0"/>
    <s v="ROUND_2"/>
    <d v="2025-05-04T00:00:00"/>
    <d v="2024-12-19T00:00:00"/>
    <s v="EAST"/>
    <s v="E03"/>
    <s v="ENUM_03"/>
    <s v="yes"/>
    <s v="55_plus"/>
    <s v="man"/>
    <n v="3"/>
    <s v="no"/>
    <s v="yes"/>
    <d v="2025-01-10T00:00:00"/>
    <s v="planning"/>
    <n v="5"/>
    <n v="1"/>
    <n v="2"/>
    <s v="yes"/>
    <n v="2"/>
    <s v="yes"/>
    <s v="community_meeting"/>
    <s v=""/>
    <n v="15.3"/>
    <x v="2"/>
    <x v="0"/>
    <s v="Planning"/>
    <s v="Community meeting"/>
  </r>
  <r>
    <s v="SUB-0159"/>
    <s v="SYN-0159"/>
    <s v="yes"/>
    <s v="1.0.0"/>
    <s v="ROUND_2"/>
    <d v="2025-06-10T00:00:00"/>
    <d v="2025-05-11T00:00:00"/>
    <s v="EAST"/>
    <s v="E03"/>
    <s v="ENUM_06"/>
    <s v="yes"/>
    <s v="25_34"/>
    <s v="man"/>
    <n v="6"/>
    <s v="no"/>
    <s v="yes"/>
    <d v="2025-05-31T00:00:00"/>
    <s v="financial_skills"/>
    <n v="4"/>
    <n v="1"/>
    <n v="2"/>
    <s v="no"/>
    <n v="3"/>
    <s v="no"/>
    <s v=""/>
    <s v=""/>
    <n v="14.2"/>
    <x v="2"/>
    <x v="0"/>
    <s v="Financial skills"/>
    <s v="UNMAPPED"/>
  </r>
  <r>
    <s v="SUB-0290"/>
    <s v="SYN-0290"/>
    <s v="yes"/>
    <s v="1.0.0"/>
    <s v="ROUND_1"/>
    <d v="2025-04-09T00:00:00"/>
    <d v="2024-11-26T00:00:00"/>
    <s v="SOUTH"/>
    <s v="S02"/>
    <s v="ENUM_05"/>
    <s v="yes"/>
    <s v="25_34"/>
    <s v="man"/>
    <n v="7"/>
    <s v="no"/>
    <s v="yes"/>
    <d v="2025-01-14T00:00:00"/>
    <s v="financial_skills"/>
    <n v="4"/>
    <n v="1"/>
    <n v="2"/>
    <s v="yes"/>
    <n v="4"/>
    <s v="no"/>
    <s v=""/>
    <s v=""/>
    <n v="20.3"/>
    <x v="4"/>
    <x v="1"/>
    <s v="Financial skills"/>
    <s v="UNMAPPED"/>
  </r>
  <r>
    <s v="SUB-0129"/>
    <s v="SYN-0129"/>
    <s v="yes"/>
    <s v="1.0.0"/>
    <s v="ROUND_2"/>
    <d v="2025-04-19T00:00:00"/>
    <d v="2025-02-22T00:00:00"/>
    <s v="EAST"/>
    <s v="E03"/>
    <s v="ENUM_04"/>
    <s v="yes"/>
    <s v="35_44"/>
    <s v="man"/>
    <n v="5"/>
    <s v="no"/>
    <s v="yes"/>
    <d v="2025-04-15T00:00:00"/>
    <s v="planning"/>
    <n v="4"/>
    <n v="3"/>
    <n v="4"/>
    <s v="yes"/>
    <n v="4"/>
    <s v="yes"/>
    <s v="community_meeting"/>
    <s v=""/>
    <n v="23.6"/>
    <x v="2"/>
    <x v="0"/>
    <s v="Planning"/>
    <s v="Community meeting"/>
  </r>
  <r>
    <s v="SUB-0036"/>
    <s v="SYN-0036"/>
    <s v="yes"/>
    <s v="1.0.0"/>
    <s v="ROUND_1"/>
    <d v="2025-05-03T00:00:00"/>
    <d v="2025-03-10T00:00:00"/>
    <s v="WEST"/>
    <s v="W01"/>
    <s v="ENUM_06"/>
    <s v="yes"/>
    <s v="18_24"/>
    <s v="man"/>
    <n v="3"/>
    <s v="no"/>
    <s v="yes"/>
    <d v="2025-04-28T00:00:00"/>
    <s v="planning"/>
    <n v="2"/>
    <n v="2"/>
    <n v="3"/>
    <s v="no"/>
    <n v="4"/>
    <s v="no"/>
    <s v=""/>
    <s v="I have already used one of the planning tools from the session."/>
    <n v="19.899999999999999"/>
    <x v="1"/>
    <x v="1"/>
    <s v="Planning"/>
    <s v="UNMAPPED"/>
  </r>
  <r>
    <s v="SUB-0125"/>
    <s v="SYN-0125"/>
    <s v="yes"/>
    <s v="1.0.0"/>
    <s v="ROUND_2"/>
    <d v="2025-09-09T00:00:00"/>
    <d v="2025-06-21T00:00:00"/>
    <s v="SOUTH"/>
    <s v="S03"/>
    <s v="ENUM_03"/>
    <s v="yes"/>
    <s v="45_54"/>
    <s v="woman"/>
    <n v="4"/>
    <s v="yes"/>
    <s v="no"/>
    <m/>
    <s v=""/>
    <m/>
    <m/>
    <m/>
    <s v=""/>
    <n v="3"/>
    <s v="no"/>
    <s v=""/>
    <s v=""/>
    <n v="25.3"/>
    <x v="4"/>
    <x v="0"/>
    <s v="UNMAPPED"/>
    <s v="UNMAPPED"/>
  </r>
  <r>
    <s v="SUB-0121"/>
    <s v="SYN-0121"/>
    <s v="yes"/>
    <s v="1.0.0"/>
    <s v="ROUND_1"/>
    <d v="2025-04-10T00:00:00"/>
    <d v="2025-02-12T00:00:00"/>
    <s v="SOUTH"/>
    <s v="S01"/>
    <s v="ENUM_05"/>
    <s v="yes"/>
    <s v="25_34"/>
    <s v="woman"/>
    <n v="6"/>
    <s v="no"/>
    <s v="yes"/>
    <d v="2025-03-14T00:00:00"/>
    <s v="digital_skills"/>
    <n v="5"/>
    <n v="2"/>
    <n v="4"/>
    <s v="yes"/>
    <n v="3"/>
    <s v="yes"/>
    <s v="community_meeting"/>
    <s v=""/>
    <n v="18.399999999999999"/>
    <x v="4"/>
    <x v="1"/>
    <s v="Digital skills"/>
    <s v="Community meeting"/>
  </r>
  <r>
    <s v="SUB-0354"/>
    <s v="SYN-0354"/>
    <s v="yes"/>
    <s v="1.0.0"/>
    <s v="ROUND_2"/>
    <d v="2025-07-15T00:00:00"/>
    <d v="2025-05-01T00:00:00"/>
    <s v="NORTH"/>
    <s v="N03"/>
    <s v="ENUM_06"/>
    <s v="yes"/>
    <s v="25_34"/>
    <s v="man"/>
    <n v="5"/>
    <s v="no"/>
    <s v="yes"/>
    <d v="2025-07-09T00:00:00"/>
    <s v="planning"/>
    <n v="5"/>
    <n v="3"/>
    <n v="4"/>
    <s v="yes"/>
    <n v="4"/>
    <s v="yes"/>
    <s v="radio"/>
    <s v=""/>
    <n v="17.3"/>
    <x v="0"/>
    <x v="0"/>
    <s v="Planning"/>
    <s v="Radio"/>
  </r>
  <r>
    <s v="SUB-0323"/>
    <s v="SYN-0323"/>
    <s v="yes"/>
    <s v="1.0.0"/>
    <s v="ROUND_1"/>
    <d v="2025-06-19T00:00:00"/>
    <d v="2025-05-01T00:00:00"/>
    <s v="EAST"/>
    <s v="E02"/>
    <s v="ENUM_01"/>
    <s v="yes"/>
    <s v="45_54"/>
    <s v="man"/>
    <n v="2"/>
    <s v="no"/>
    <s v="yes"/>
    <d v="2025-05-11T00:00:00"/>
    <s v="digital_skills"/>
    <n v="4"/>
    <n v="1"/>
    <n v="2"/>
    <s v="yes"/>
    <n v="4"/>
    <s v="no"/>
    <s v=""/>
    <s v=""/>
    <n v="16.899999999999999"/>
    <x v="2"/>
    <x v="1"/>
    <s v="Digital skills"/>
    <s v="UNMAPPED"/>
  </r>
  <r>
    <s v="SUB-0170"/>
    <s v="SYN-0170"/>
    <s v="yes"/>
    <s v="1.0.0"/>
    <s v="ROUND_1"/>
    <d v="2025-06-12T00:00:00"/>
    <d v="2025-03-29T00:00:00"/>
    <s v="EAST"/>
    <s v="E01"/>
    <s v="ENUM_07"/>
    <s v="yes"/>
    <s v="25_34"/>
    <s v="man"/>
    <n v="4"/>
    <s v="no"/>
    <s v="yes"/>
    <d v="2025-04-29T00:00:00"/>
    <s v="leadership"/>
    <n v="2"/>
    <n v="1"/>
    <n v="3"/>
    <s v="yes"/>
    <n v="5"/>
    <s v="yes"/>
    <s v="printed_material"/>
    <s v=""/>
    <n v="11.7"/>
    <x v="2"/>
    <x v="1"/>
    <s v="Leadership"/>
    <s v="Printed material"/>
  </r>
  <r>
    <s v="SUB-0117"/>
    <s v="SYN-0117"/>
    <s v="yes"/>
    <s v="1.0.0"/>
    <s v="ROUND_2"/>
    <d v="2025-06-09T00:00:00"/>
    <d v="2025-04-24T00:00:00"/>
    <s v="NORTH"/>
    <s v="N02"/>
    <s v="ENUM_07"/>
    <s v="yes"/>
    <s v="45_54"/>
    <s v="woman"/>
    <n v="6"/>
    <s v="no"/>
    <s v="yes"/>
    <d v="2025-05-07T00:00:00"/>
    <s v="planning"/>
    <n v="4"/>
    <n v="2"/>
    <n v="3"/>
    <s v="yes"/>
    <n v="3"/>
    <s v="no"/>
    <s v=""/>
    <s v=""/>
    <n v="13.9"/>
    <x v="0"/>
    <x v="0"/>
    <s v="Planning"/>
    <s v="UNMAPPED"/>
  </r>
  <r>
    <s v="SUB-0273"/>
    <s v="SYN-0273"/>
    <s v="yes"/>
    <s v="1.0.0"/>
    <s v="ROUND_2"/>
    <d v="2025-06-19T00:00:00"/>
    <d v="2025-02-22T00:00:00"/>
    <s v="EAST"/>
    <s v="E01"/>
    <s v="ENUM_06"/>
    <s v="yes"/>
    <s v="35_44"/>
    <s v="man"/>
    <n v="3"/>
    <s v="no"/>
    <s v="no"/>
    <m/>
    <s v=""/>
    <m/>
    <m/>
    <m/>
    <s v=""/>
    <n v="4"/>
    <s v="no"/>
    <s v=""/>
    <s v=""/>
    <n v="27.5"/>
    <x v="2"/>
    <x v="0"/>
    <s v="UNMAPPED"/>
    <s v="UNMAPPED"/>
  </r>
  <r>
    <s v="SUB-0293"/>
    <s v="SYN-0293"/>
    <s v="yes"/>
    <s v="1.0.0"/>
    <s v="ROUND_1"/>
    <d v="2025-05-19T00:00:00"/>
    <d v="2025-01-19T00:00:00"/>
    <s v="WEST"/>
    <s v="W01"/>
    <s v="ENUM_05"/>
    <s v="yes"/>
    <s v="25_34"/>
    <s v="man"/>
    <n v="5"/>
    <s v="no"/>
    <s v="yes"/>
    <d v="2025-05-07T00:00:00"/>
    <s v="digital_skills"/>
    <n v="2"/>
    <n v="3"/>
    <n v="4"/>
    <s v="yes"/>
    <n v="3"/>
    <s v="yes"/>
    <s v="printed_material"/>
    <s v=""/>
    <n v="14.3"/>
    <x v="1"/>
    <x v="1"/>
    <s v="Digital skills"/>
    <s v="Printed material"/>
  </r>
  <r>
    <s v="SUB-0001"/>
    <s v="SYN-0001"/>
    <s v="yes"/>
    <s v="1.0.0"/>
    <s v="ROUND_2"/>
    <d v="2025-08-21T00:00:00"/>
    <d v="2025-05-12T00:00:00"/>
    <s v="WEST"/>
    <s v="W01"/>
    <s v="ENUM_02"/>
    <s v="yes"/>
    <s v="18_24"/>
    <s v="woman"/>
    <n v="7"/>
    <s v="no"/>
    <s v="yes"/>
    <d v="2025-07-28T00:00:00"/>
    <s v="financial_skills"/>
    <n v="4"/>
    <n v="4"/>
    <n v="5"/>
    <s v="no"/>
    <n v="3"/>
    <s v="no"/>
    <s v=""/>
    <s v=""/>
    <n v="180"/>
    <x v="1"/>
    <x v="0"/>
    <s v="Financial skills"/>
    <s v="UNMAPPED"/>
  </r>
  <r>
    <s v="SUB-0056"/>
    <s v="SYN-0056"/>
    <s v="yes"/>
    <s v="1.0.0"/>
    <s v="ROUND_2"/>
    <d v="2025-05-07T00:00:00"/>
    <d v="2025-03-17T00:00:00"/>
    <s v="SOUTH"/>
    <s v="S03"/>
    <s v="ENUM_05"/>
    <s v="yes"/>
    <s v="25_34"/>
    <s v="man"/>
    <n v="6"/>
    <s v="no"/>
    <s v="no"/>
    <m/>
    <s v=""/>
    <m/>
    <m/>
    <m/>
    <s v=""/>
    <n v="5"/>
    <s v="no"/>
    <s v=""/>
    <s v=""/>
    <n v="24"/>
    <x v="4"/>
    <x v="0"/>
    <s v="UNMAPPED"/>
    <s v="UNMAPPED"/>
  </r>
  <r>
    <s v="SUB-0219"/>
    <s v="SYN-0219"/>
    <s v="yes"/>
    <s v="1.0.0"/>
    <s v="ROUND_1"/>
    <d v="2025-06-28T00:00:00"/>
    <d v="2025-02-03T00:00:00"/>
    <s v="NORTH"/>
    <s v="N03"/>
    <s v="ENUM_06"/>
    <s v="yes"/>
    <s v="35_44"/>
    <s v="woman"/>
    <n v="6"/>
    <s v="no"/>
    <s v="no"/>
    <m/>
    <s v=""/>
    <m/>
    <m/>
    <m/>
    <s v=""/>
    <n v="4"/>
    <s v="yes"/>
    <s v="community_meeting"/>
    <s v=""/>
    <n v="16.2"/>
    <x v="0"/>
    <x v="1"/>
    <s v="UNMAPPED"/>
    <s v="Community meeting"/>
  </r>
  <r>
    <s v="SUB-0260"/>
    <s v="SYN-0260"/>
    <s v="yes"/>
    <s v="1.0.0"/>
    <s v="ROUND_2"/>
    <d v="2025-04-06T00:00:00"/>
    <d v="2024-11-24T00:00:00"/>
    <s v="SOUTH"/>
    <s v="S02"/>
    <s v="ENUM_06"/>
    <s v="yes"/>
    <s v="35_44"/>
    <s v="man"/>
    <n v="7"/>
    <s v="no"/>
    <s v="yes"/>
    <d v="2025-03-18T00:00:00"/>
    <s v="financial_skills"/>
    <n v="5"/>
    <n v="4"/>
    <n v="5"/>
    <s v="yes"/>
    <n v="4"/>
    <s v="yes"/>
    <s v="radio"/>
    <s v="The group activities helped me learn from other participants."/>
    <n v="9.4"/>
    <x v="4"/>
    <x v="0"/>
    <s v="Financial skills"/>
    <s v="Radio"/>
  </r>
  <r>
    <s v="SUB-0372"/>
    <s v="SYN-0372"/>
    <s v="yes"/>
    <s v="1.0.0"/>
    <s v="ROUND_1"/>
    <d v="2025-06-20T00:00:00"/>
    <d v="2025-01-30T00:00:00"/>
    <s v="WEST"/>
    <s v="W03"/>
    <s v="ENUM_07"/>
    <s v="yes"/>
    <s v="18_24"/>
    <s v="woman"/>
    <n v="7"/>
    <s v="no"/>
    <s v="yes"/>
    <d v="2025-06-19T00:00:00"/>
    <s v="leadership"/>
    <n v="4"/>
    <n v="2"/>
    <n v="3"/>
    <s v="yes"/>
    <n v="3"/>
    <s v="no"/>
    <s v=""/>
    <s v=""/>
    <n v="12.6"/>
    <x v="1"/>
    <x v="1"/>
    <s v="Leadership"/>
    <s v="UNMAPPED"/>
  </r>
  <r>
    <s v="SUB-0119"/>
    <s v="SYN-0119"/>
    <s v="yes"/>
    <s v="1.0.0"/>
    <s v="ROUND_2"/>
    <d v="2025-05-07T00:00:00"/>
    <d v="2024-12-11T00:00:00"/>
    <s v="EAST"/>
    <s v="E01"/>
    <s v="ENUM_06"/>
    <s v="yes"/>
    <s v="35_44"/>
    <s v="man"/>
    <n v="4"/>
    <s v="no"/>
    <s v="no"/>
    <d v="2025-05-07T00:00:00"/>
    <s v="digital_skills"/>
    <n v="4"/>
    <n v="2"/>
    <n v="4"/>
    <s v="yes"/>
    <n v="5"/>
    <s v="no"/>
    <s v=""/>
    <s v=""/>
    <n v="21.6"/>
    <x v="2"/>
    <x v="0"/>
    <s v="Digital skills"/>
    <s v="UNMAPPED"/>
  </r>
  <r>
    <s v="SUB-0206"/>
    <s v="SYN-0206"/>
    <s v="yes"/>
    <s v="1.0.0"/>
    <s v="ROUND_2"/>
    <d v="2025-09-25T00:00:00"/>
    <d v="2025-05-24T00:00:00"/>
    <s v="EAST"/>
    <s v="E03"/>
    <s v="ENUM_03"/>
    <s v="yes"/>
    <s v="45_54"/>
    <s v="woman"/>
    <n v="5"/>
    <s v="no"/>
    <s v="yes"/>
    <d v="2025-05-27T00:00:00"/>
    <s v="financial_skills"/>
    <n v="5"/>
    <n v="3"/>
    <n v="5"/>
    <s v="yes"/>
    <n v="4"/>
    <s v="no"/>
    <s v=""/>
    <s v="I would like more examples about budgeting and record keeping."/>
    <n v="15.6"/>
    <x v="2"/>
    <x v="0"/>
    <s v="Financial skills"/>
    <s v="UNMAPPED"/>
  </r>
  <r>
    <s v="SUB-0116"/>
    <s v="SYN-0116"/>
    <s v="yes"/>
    <s v="1.0.0"/>
    <s v="ROUND_1"/>
    <d v="2025-09-13T00:00:00"/>
    <d v="2025-07-14T00:00:00"/>
    <s v="NORTH"/>
    <s v="N03"/>
    <s v="ENUM_07"/>
    <s v="yes"/>
    <s v="25_34"/>
    <s v=""/>
    <n v="2"/>
    <s v="no"/>
    <s v="yes"/>
    <d v="2025-07-29T00:00:00"/>
    <s v="digital_skills"/>
    <n v="4"/>
    <n v="4"/>
    <n v="5"/>
    <s v="yes"/>
    <n v="4"/>
    <s v="no"/>
    <s v=""/>
    <s v=""/>
    <n v="12.6"/>
    <x v="0"/>
    <x v="1"/>
    <s v="Digital skills"/>
    <s v="UNMAPPED"/>
  </r>
  <r>
    <s v="SUB-0333"/>
    <s v="SYN-0333"/>
    <s v="yes"/>
    <s v="1.0.0"/>
    <s v="ROUND_1"/>
    <d v="2025-07-30T00:00:00"/>
    <d v="2025-04-18T00:00:00"/>
    <s v="NORTH"/>
    <s v="N03"/>
    <s v="ENUM_07"/>
    <s v="yes"/>
    <s v="55_plus"/>
    <s v="woman"/>
    <n v="4"/>
    <s v="no"/>
    <s v="no"/>
    <m/>
    <s v=""/>
    <m/>
    <m/>
    <m/>
    <s v=""/>
    <n v="4"/>
    <s v="no"/>
    <s v=""/>
    <s v=""/>
    <n v="25.7"/>
    <x v="0"/>
    <x v="1"/>
    <s v="UNMAPPED"/>
    <s v="UNMAPPED"/>
  </r>
  <r>
    <s v="SUB-0098"/>
    <s v="SYN-0098"/>
    <s v="yes"/>
    <s v="1.0.0"/>
    <s v="ROUND_1"/>
    <d v="2025-07-19T00:00:00"/>
    <d v="2025-04-05T00:00:00"/>
    <s v="SOUTH"/>
    <s v="S01"/>
    <s v="ENUM_02"/>
    <s v="yes"/>
    <s v="25_34"/>
    <s v="woman"/>
    <n v="4"/>
    <s v="no"/>
    <s v="yes"/>
    <d v="2025-06-18T00:00:00"/>
    <s v="planning"/>
    <n v="3"/>
    <n v="3"/>
    <n v="4"/>
    <s v="yes"/>
    <n v="2"/>
    <s v="no"/>
    <s v=""/>
    <s v=""/>
    <n v="26.5"/>
    <x v="4"/>
    <x v="1"/>
    <s v="Planning"/>
    <s v="UNMAPPED"/>
  </r>
  <r>
    <s v="SUB-0034"/>
    <s v="SYN-0034"/>
    <s v="yes"/>
    <s v="1.0.0"/>
    <s v="ROUND_2"/>
    <d v="2025-09-09T00:00:00"/>
    <d v="2025-08-02T00:00:00"/>
    <s v="NORTH"/>
    <s v="N03"/>
    <s v="ENUM_01"/>
    <s v="yes"/>
    <s v="35_44"/>
    <s v="woman"/>
    <n v="5"/>
    <s v="no"/>
    <s v="yes"/>
    <d v="2025-08-10T00:00:00"/>
    <s v="financial_skills"/>
    <n v="5"/>
    <n v="2"/>
    <n v="4"/>
    <s v="yes"/>
    <n v="5"/>
    <s v="no"/>
    <s v=""/>
    <s v=""/>
    <n v="17.3"/>
    <x v="0"/>
    <x v="0"/>
    <s v="Financial skills"/>
    <s v="UNMAPPED"/>
  </r>
  <r>
    <s v="SUB-0299"/>
    <s v="SYN-0299"/>
    <s v="yes"/>
    <s v="1.0.0"/>
    <s v="ROUND_2"/>
    <d v="2025-09-20T00:00:00"/>
    <d v="2025-06-21T00:00:00"/>
    <s v="EAST"/>
    <s v="E01"/>
    <s v="ENUM_01"/>
    <s v="yes"/>
    <s v="55_plus"/>
    <s v="man"/>
    <n v="4"/>
    <s v="no"/>
    <s v="yes"/>
    <d v="2025-08-07T00:00:00"/>
    <s v="planning"/>
    <n v="3"/>
    <n v="3"/>
    <n v="5"/>
    <s v="yes"/>
    <n v="5"/>
    <s v="no"/>
    <s v=""/>
    <s v=""/>
    <n v="27.2"/>
    <x v="2"/>
    <x v="0"/>
    <s v="Planning"/>
    <s v="UNMAPPED"/>
  </r>
  <r>
    <s v="SUB-0244"/>
    <s v="SYN-0244"/>
    <s v="yes"/>
    <s v="1.0.0"/>
    <s v="ROUND_1"/>
    <d v="2025-07-18T00:00:00"/>
    <d v="2025-05-09T00:00:00"/>
    <s v="NORTH"/>
    <s v="N02"/>
    <s v="ENUM_05"/>
    <s v="yes"/>
    <s v="55_plus"/>
    <s v="woman"/>
    <n v="6"/>
    <s v="no"/>
    <s v="yes"/>
    <d v="2025-07-10T00:00:00"/>
    <s v="digital_skills"/>
    <n v="3"/>
    <n v="3"/>
    <n v="4"/>
    <s v="yes"/>
    <n v="4"/>
    <s v="no"/>
    <s v=""/>
    <s v=""/>
    <n v="15.8"/>
    <x v="0"/>
    <x v="1"/>
    <s v="Digital skills"/>
    <s v="UNMAPPED"/>
  </r>
  <r>
    <s v="SUB-0229"/>
    <s v="SYN-0229"/>
    <s v="yes"/>
    <s v="1.0.0"/>
    <s v="ROUND_2"/>
    <d v="2025-08-12T00:00:00"/>
    <d v="2025-04-12T00:00:00"/>
    <s v="NORTH"/>
    <s v="N01"/>
    <s v="ENUM_02"/>
    <s v="yes"/>
    <s v="45_54"/>
    <s v="man"/>
    <n v="5"/>
    <s v="no"/>
    <s v="no"/>
    <m/>
    <s v=""/>
    <m/>
    <m/>
    <m/>
    <s v=""/>
    <n v="4"/>
    <s v="no"/>
    <s v=""/>
    <s v=""/>
    <n v="20"/>
    <x v="0"/>
    <x v="0"/>
    <s v="UNMAPPED"/>
    <s v="UNMAPPED"/>
  </r>
  <r>
    <s v="SUB-0218"/>
    <s v="SYN-0218"/>
    <s v="yes"/>
    <s v="1.0.0"/>
    <s v="ROUND_2"/>
    <d v="2025-05-23T00:00:00"/>
    <d v="2025-02-16T00:00:00"/>
    <s v="EAST"/>
    <s v="E01"/>
    <s v="ENUM_08"/>
    <s v="yes"/>
    <s v="45_54"/>
    <s v="woman"/>
    <n v="5"/>
    <s v="yes"/>
    <s v="yes"/>
    <d v="2025-04-04T00:00:00"/>
    <s v="planning"/>
    <n v="4"/>
    <n v="4"/>
    <n v="5"/>
    <s v="yes"/>
    <n v="3"/>
    <s v="yes"/>
    <s v="printed_material"/>
    <s v="Printed materials would help people who cannot attend every session."/>
    <n v="18.399999999999999"/>
    <x v="2"/>
    <x v="0"/>
    <s v="Planning"/>
    <s v="Printed material"/>
  </r>
  <r>
    <s v="SUB-0169"/>
    <s v="SYN-0169"/>
    <s v="yes"/>
    <s v="1.0.0"/>
    <s v="ROUND_1"/>
    <d v="2025-05-27T00:00:00"/>
    <d v="2025-06-10T00:00:00"/>
    <s v="SOUTH"/>
    <s v="S01"/>
    <s v="ENUM_07"/>
    <s v="yes"/>
    <s v="55_plus"/>
    <s v="woman"/>
    <n v="4"/>
    <s v="no"/>
    <s v="no"/>
    <m/>
    <s v=""/>
    <m/>
    <m/>
    <m/>
    <s v=""/>
    <n v="5"/>
    <s v="yes"/>
    <s v="printed_material"/>
    <s v=""/>
    <n v="24"/>
    <x v="4"/>
    <x v="1"/>
    <s v="UNMAPPED"/>
    <s v="Printed material"/>
  </r>
  <r>
    <s v="SUB-0402"/>
    <s v="SYN-0402"/>
    <s v="yes"/>
    <s v="1.0.0"/>
    <s v="ROUND_2"/>
    <d v="2025-06-06T00:00:00"/>
    <d v="2025-01-31T00:00:00"/>
    <s v="NORTH"/>
    <s v="N03"/>
    <s v="ENUM_04"/>
    <s v="yes"/>
    <s v="25_34"/>
    <s v="prefer_not"/>
    <n v="7"/>
    <s v="no"/>
    <s v="no"/>
    <m/>
    <s v=""/>
    <m/>
    <m/>
    <m/>
    <s v=""/>
    <n v="3"/>
    <s v="no"/>
    <s v=""/>
    <s v=""/>
    <n v="16.5"/>
    <x v="0"/>
    <x v="0"/>
    <s v="UNMAPPED"/>
    <s v="UNMAPPED"/>
  </r>
  <r>
    <s v="SUB-0075"/>
    <s v="SYN-0075"/>
    <s v="yes"/>
    <s v="1.0.0"/>
    <s v="ROUND_1"/>
    <d v="2025-09-08T00:00:00"/>
    <d v="2025-07-22T00:00:00"/>
    <s v="NORTH"/>
    <s v="N03"/>
    <s v="ENUM_03"/>
    <s v="yes"/>
    <s v="35_44"/>
    <s v="man"/>
    <n v="2"/>
    <s v="yes"/>
    <s v="yes"/>
    <d v="2025-08-19T00:00:00"/>
    <s v="leadership"/>
    <n v="1"/>
    <n v="2"/>
    <n v="4"/>
    <s v="yes"/>
    <n v="4"/>
    <s v="no"/>
    <s v=""/>
    <s v=""/>
    <n v="13.6"/>
    <x v="0"/>
    <x v="1"/>
    <s v="Leadership"/>
    <s v="UNMAPPED"/>
  </r>
  <r>
    <s v="SUB-0193"/>
    <s v="SYN-0193"/>
    <s v="yes"/>
    <s v="1.0.0"/>
    <s v="ROUND_1"/>
    <d v="2025-05-11T00:00:00"/>
    <d v="2024-12-16T00:00:00"/>
    <s v="WEST"/>
    <s v="W02"/>
    <s v="ENUM_06"/>
    <s v="yes"/>
    <s v="35_44"/>
    <s v="woman"/>
    <n v="4"/>
    <s v="no"/>
    <s v="yes"/>
    <d v="2025-02-04T00:00:00"/>
    <s v="financial_skills"/>
    <n v="4"/>
    <n v="2"/>
    <n v="3"/>
    <s v="no"/>
    <n v="3"/>
    <s v="no"/>
    <s v=""/>
    <s v="The session was useful, but the timing conflicted with other responsibilities."/>
    <n v="10"/>
    <x v="1"/>
    <x v="1"/>
    <s v="Financial skills"/>
    <s v="UNMAPPED"/>
  </r>
  <r>
    <s v="SUB-0399"/>
    <s v="SYN-0399"/>
    <s v="yes"/>
    <s v="1.0.0"/>
    <s v="ROUND_2"/>
    <d v="2025-08-07T00:00:00"/>
    <d v="2025-06-01T00:00:00"/>
    <s v="EAST"/>
    <s v="E03"/>
    <s v="ENUM_02"/>
    <s v="yes"/>
    <s v="45_54"/>
    <s v="woman"/>
    <n v="5"/>
    <s v="no"/>
    <s v="no"/>
    <m/>
    <s v=""/>
    <m/>
    <m/>
    <m/>
    <s v=""/>
    <n v="5"/>
    <s v="no"/>
    <s v=""/>
    <s v=""/>
    <n v="24.3"/>
    <x v="2"/>
    <x v="0"/>
    <s v="UNMAPPED"/>
    <s v="UNMAPPE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7DD434-7485-4D7C-9960-5479D87796F7}" name="PivotSatisfaction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9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2"/>
        <item x="1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2"/>
        <item x="0"/>
        <item x="4"/>
        <item x="3"/>
        <item x="1"/>
        <item t="default"/>
      </items>
    </pivotField>
    <pivotField showAll="0"/>
    <pivotField showAll="0"/>
    <pivotField showAll="0"/>
  </pivotFields>
  <rowFields count="1">
    <field x="27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15" item="2" hier="-1"/>
  </pageFields>
  <dataFields count="1">
    <dataField name="Mean satisfaction" fld="18" subtotal="average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A3BC05-E938-4BDC-AA81-EFF78A519875}" name="PivotRegionRound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10" firstHeaderRow="1" firstDataRow="2" firstDataCol="1"/>
  <pivotFields count="31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2"/>
        <item x="0"/>
        <item x="4"/>
        <item x="3"/>
        <item x="1"/>
        <item t="default"/>
      </items>
    </pivotField>
    <pivotField axis="axisCol" showAll="0">
      <items count="4">
        <item x="1"/>
        <item x="0"/>
        <item x="2"/>
        <item t="default"/>
      </items>
    </pivotField>
    <pivotField showAll="0"/>
    <pivotField showAll="0"/>
  </pivotFields>
  <rowFields count="1">
    <field x="27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8"/>
  </colFields>
  <colItems count="4">
    <i>
      <x/>
    </i>
    <i>
      <x v="1"/>
    </i>
    <i>
      <x v="2"/>
    </i>
    <i t="grand">
      <x/>
    </i>
  </colItems>
  <dataFields count="1">
    <dataField name="Respons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77641228-4E6D-48EE-B1E0-69343A6CDD07}" autoFormatId="0" applyNumberFormats="0" applyBorderFormats="0" applyFontFormats="1" applyPatternFormats="1" applyAlignmentFormats="0" applyWidthHeightFormats="0">
  <queryTableRefresh nextId="32">
    <queryTableFields count="31">
      <queryTableField id="1" name="submission_id" tableColumnId="32"/>
      <queryTableField id="2" name="response_id" tableColumnId="33"/>
      <queryTableField id="3" name="synthetic_data" tableColumnId="34"/>
      <queryTableField id="4" name="survey_version" tableColumnId="35"/>
      <queryTableField id="5" name="survey_round" tableColumnId="36"/>
      <queryTableField id="6" name="interview_date" tableColumnId="37"/>
      <queryTableField id="7" name="program_start_date" tableColumnId="38"/>
      <queryTableField id="8" name="region_code" tableColumnId="39"/>
      <queryTableField id="9" name="site_code" tableColumnId="40"/>
      <queryTableField id="10" name="enumerator_code" tableColumnId="41"/>
      <queryTableField id="11" name="consent" tableColumnId="42"/>
      <queryTableField id="12" name="age_group" tableColumnId="43"/>
      <queryTableField id="13" name="gender" tableColumnId="44"/>
      <queryTableField id="14" name="household_size" tableColumnId="45"/>
      <queryTableField id="15" name="disability_access" tableColumnId="46"/>
      <queryTableField id="16" name="participated_training" tableColumnId="47"/>
      <queryTableField id="17" name="training_date" tableColumnId="48"/>
      <queryTableField id="18" name="training_topic" tableColumnId="49"/>
      <queryTableField id="19" name="satisfaction_score" tableColumnId="50"/>
      <queryTableField id="20" name="knowledge_before" tableColumnId="51"/>
      <queryTableField id="21" name="knowledge_after" tableColumnId="52"/>
      <queryTableField id="22" name="used_skill" tableColumnId="53"/>
      <queryTableField id="23" name="service_access" tableColumnId="54"/>
      <queryTableField id="24" name="follow_up_requested" tableColumnId="55"/>
      <queryTableField id="25" name="preferred_channel" tableColumnId="56"/>
      <queryTableField id="26" name="open_comment" tableColumnId="57"/>
      <queryTableField id="27" name="completion_minutes" tableColumnId="58"/>
      <queryTableField id="28" name="region_label" tableColumnId="59"/>
      <queryTableField id="29" name="round_label" tableColumnId="60"/>
      <queryTableField id="30" name="topic_label" tableColumnId="61"/>
      <queryTableField id="31" name="channel_label" tableColumnId="6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A338D7-A3F7-4786-8E91-2A4A537333D0}" name="SurveyTbl" displayName="SurveyTbl" ref="A1:AE421" tableType="queryTable" totalsRowShown="0">
  <autoFilter ref="A1:AE421" xr:uid="{CDA338D7-A3F7-4786-8E91-2A4A537333D0}"/>
  <tableColumns count="31">
    <tableColumn id="32" xr3:uid="{2C848853-D691-418E-B9D0-E8387E72CDE8}" uniqueName="32" name="submission_id" queryTableFieldId="1" dataDxfId="26"/>
    <tableColumn id="33" xr3:uid="{5420E941-7A5D-4D7C-B2D3-FCFBEE714193}" uniqueName="33" name="response_id" queryTableFieldId="2" dataDxfId="25"/>
    <tableColumn id="34" xr3:uid="{FC665FA9-71A0-46DD-8882-E0CB5A9ABF2D}" uniqueName="34" name="synthetic_data" queryTableFieldId="3" dataDxfId="24"/>
    <tableColumn id="35" xr3:uid="{88E51733-4CFF-4A88-AAE5-E885ED97DCA7}" uniqueName="35" name="survey_version" queryTableFieldId="4" dataDxfId="23"/>
    <tableColumn id="36" xr3:uid="{4A3DC3D1-68D1-467D-9614-FE787D391C02}" uniqueName="36" name="survey_round" queryTableFieldId="5" dataDxfId="22"/>
    <tableColumn id="37" xr3:uid="{5F02917F-F5CD-490B-A090-22F32F279C7F}" uniqueName="37" name="interview_date" queryTableFieldId="6" dataDxfId="21"/>
    <tableColumn id="38" xr3:uid="{A0CAE7EA-8B51-4CB3-ACEE-F7346D5498A5}" uniqueName="38" name="program_start_date" queryTableFieldId="7" dataDxfId="20"/>
    <tableColumn id="39" xr3:uid="{4AEF8CE9-1CBB-4166-8A7C-808ACABE6993}" uniqueName="39" name="region_code" queryTableFieldId="8" dataDxfId="19"/>
    <tableColumn id="40" xr3:uid="{5723D908-3EBB-4216-BEB4-45666E6F54E7}" uniqueName="40" name="site_code" queryTableFieldId="9" dataDxfId="18"/>
    <tableColumn id="41" xr3:uid="{A85EC86B-86A9-43D8-8B65-26E9353B8E3E}" uniqueName="41" name="enumerator_code" queryTableFieldId="10" dataDxfId="17"/>
    <tableColumn id="42" xr3:uid="{BC85FBA0-6D3B-4B3D-8451-140607495887}" uniqueName="42" name="consent" queryTableFieldId="11" dataDxfId="16"/>
    <tableColumn id="43" xr3:uid="{039BB680-B4C0-433B-9FA0-55EAC7046011}" uniqueName="43" name="age_group" queryTableFieldId="12" dataDxfId="15"/>
    <tableColumn id="44" xr3:uid="{65089279-0F72-48C3-B510-8A72FF91480A}" uniqueName="44" name="gender" queryTableFieldId="13" dataDxfId="14"/>
    <tableColumn id="45" xr3:uid="{894854F5-24CB-4FF8-8637-810F00835E96}" uniqueName="45" name="household_size" queryTableFieldId="14"/>
    <tableColumn id="46" xr3:uid="{CAE91183-DE01-4DED-9E32-A68583E559DF}" uniqueName="46" name="disability_access" queryTableFieldId="15" dataDxfId="13"/>
    <tableColumn id="47" xr3:uid="{AB17A270-54B3-4DB6-AF3E-BDD53370B1EA}" uniqueName="47" name="participated_training" queryTableFieldId="16" dataDxfId="12"/>
    <tableColumn id="48" xr3:uid="{213D0773-F0FB-452E-A434-92AF13E07BD2}" uniqueName="48" name="training_date" queryTableFieldId="17" dataDxfId="11"/>
    <tableColumn id="49" xr3:uid="{8E1ACAE9-B43E-4D3B-8284-415D3CC358F6}" uniqueName="49" name="training_topic" queryTableFieldId="18" dataDxfId="10"/>
    <tableColumn id="50" xr3:uid="{EABE8C47-BD74-47B6-847D-2304773DD094}" uniqueName="50" name="satisfaction_score" queryTableFieldId="19"/>
    <tableColumn id="51" xr3:uid="{91A853BA-DE3C-4A27-BB7A-51D3278DAC87}" uniqueName="51" name="knowledge_before" queryTableFieldId="20"/>
    <tableColumn id="52" xr3:uid="{8A1615E1-EC9A-4229-B624-E9EEB700537D}" uniqueName="52" name="knowledge_after" queryTableFieldId="21"/>
    <tableColumn id="53" xr3:uid="{F68599EB-F42F-481A-9101-69E716E07AB8}" uniqueName="53" name="used_skill" queryTableFieldId="22" dataDxfId="9"/>
    <tableColumn id="54" xr3:uid="{CB7D3F77-DDE3-4F83-8F80-59B95A07C076}" uniqueName="54" name="service_access" queryTableFieldId="23"/>
    <tableColumn id="55" xr3:uid="{A9DC93E8-8F05-46DC-B1E7-959967F16BF4}" uniqueName="55" name="follow_up_requested" queryTableFieldId="24" dataDxfId="8"/>
    <tableColumn id="56" xr3:uid="{FAF080B9-7AD1-42B2-988B-49146D0AE6AB}" uniqueName="56" name="preferred_channel" queryTableFieldId="25" dataDxfId="7"/>
    <tableColumn id="57" xr3:uid="{7B91C584-03C1-4B4E-A914-353D876C7643}" uniqueName="57" name="open_comment" queryTableFieldId="26" dataDxfId="6"/>
    <tableColumn id="58" xr3:uid="{35BBDB94-8081-4D3E-83BE-90B11F7A66E6}" uniqueName="58" name="completion_minutes" queryTableFieldId="27"/>
    <tableColumn id="59" xr3:uid="{3510842D-2483-4933-BDD5-FD0625501BFD}" uniqueName="59" name="region_label" queryTableFieldId="28" dataDxfId="5"/>
    <tableColumn id="60" xr3:uid="{E8E6C192-E0AE-42D8-AAB5-EAACFE26A330}" uniqueName="60" name="round_label" queryTableFieldId="29" dataDxfId="4"/>
    <tableColumn id="61" xr3:uid="{98F9C74A-DE50-414E-9BAF-F2401C63BB5F}" uniqueName="61" name="topic_label" queryTableFieldId="30" dataDxfId="3"/>
    <tableColumn id="62" xr3:uid="{DA4CA3BA-4194-4CAC-8295-B9361C4CEBB7}" uniqueName="62" name="channel_label" queryTableFieldId="31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20148-E8E0-4069-9CC2-D2B3ABFB5C0C}">
  <sheetPr codeName="Sheet1"/>
  <dimension ref="A1:B9"/>
  <sheetViews>
    <sheetView workbookViewId="0"/>
  </sheetViews>
  <sheetFormatPr defaultRowHeight="14.4" x14ac:dyDescent="0.3"/>
  <cols>
    <col min="1" max="1" width="20.21875" bestFit="1" customWidth="1"/>
    <col min="2" max="2" width="16" bestFit="1" customWidth="1"/>
  </cols>
  <sheetData>
    <row r="1" spans="1:2" x14ac:dyDescent="0.3">
      <c r="A1" s="10" t="s">
        <v>142</v>
      </c>
      <c r="B1" t="s">
        <v>54</v>
      </c>
    </row>
    <row r="3" spans="1:2" x14ac:dyDescent="0.3">
      <c r="A3" s="10" t="s">
        <v>1026</v>
      </c>
      <c r="B3" t="s">
        <v>184</v>
      </c>
    </row>
    <row r="4" spans="1:2" x14ac:dyDescent="0.3">
      <c r="A4" s="11" t="s">
        <v>71</v>
      </c>
      <c r="B4" s="12">
        <v>3.99</v>
      </c>
    </row>
    <row r="5" spans="1:2" x14ac:dyDescent="0.3">
      <c r="A5" s="11" t="s">
        <v>51</v>
      </c>
      <c r="B5" s="12">
        <v>3.8082191780821919</v>
      </c>
    </row>
    <row r="6" spans="1:2" x14ac:dyDescent="0.3">
      <c r="A6" s="11" t="s">
        <v>61</v>
      </c>
      <c r="B6" s="12">
        <v>3.918032786885246</v>
      </c>
    </row>
    <row r="7" spans="1:2" x14ac:dyDescent="0.3">
      <c r="A7" s="11" t="s">
        <v>192</v>
      </c>
      <c r="B7" s="12">
        <v>4</v>
      </c>
    </row>
    <row r="8" spans="1:2" x14ac:dyDescent="0.3">
      <c r="A8" s="11" t="s">
        <v>79</v>
      </c>
      <c r="B8" s="12">
        <v>3.736842105263158</v>
      </c>
    </row>
    <row r="9" spans="1:2" x14ac:dyDescent="0.3">
      <c r="A9" s="11" t="s">
        <v>1027</v>
      </c>
      <c r="B9" s="12">
        <v>3.8722044728434506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7E9C8-0946-4379-AC89-7402236F5F23}">
  <sheetPr codeName="Sheet2"/>
  <dimension ref="A3:E10"/>
  <sheetViews>
    <sheetView workbookViewId="0"/>
  </sheetViews>
  <sheetFormatPr defaultRowHeight="14.4" x14ac:dyDescent="0.3"/>
  <cols>
    <col min="1" max="1" width="20.21875" bestFit="1" customWidth="1"/>
    <col min="2" max="2" width="15.5546875" bestFit="1" customWidth="1"/>
    <col min="3" max="3" width="8" bestFit="1" customWidth="1"/>
    <col min="4" max="4" width="11.109375" bestFit="1" customWidth="1"/>
    <col min="5" max="5" width="10.77734375" bestFit="1" customWidth="1"/>
  </cols>
  <sheetData>
    <row r="3" spans="1:5" x14ac:dyDescent="0.3">
      <c r="A3" s="10" t="s">
        <v>1029</v>
      </c>
      <c r="B3" s="10" t="s">
        <v>1028</v>
      </c>
    </row>
    <row r="4" spans="1:5" x14ac:dyDescent="0.3">
      <c r="A4" s="10" t="s">
        <v>1026</v>
      </c>
      <c r="B4" t="s">
        <v>180</v>
      </c>
      <c r="C4" t="s">
        <v>181</v>
      </c>
      <c r="D4" t="s">
        <v>192</v>
      </c>
      <c r="E4" t="s">
        <v>1027</v>
      </c>
    </row>
    <row r="5" spans="1:5" x14ac:dyDescent="0.3">
      <c r="A5" s="11" t="s">
        <v>71</v>
      </c>
      <c r="B5">
        <v>50</v>
      </c>
      <c r="C5">
        <v>72</v>
      </c>
      <c r="E5">
        <v>122</v>
      </c>
    </row>
    <row r="6" spans="1:5" x14ac:dyDescent="0.3">
      <c r="A6" s="11" t="s">
        <v>51</v>
      </c>
      <c r="B6">
        <v>41</v>
      </c>
      <c r="C6">
        <v>59</v>
      </c>
      <c r="E6">
        <v>100</v>
      </c>
    </row>
    <row r="7" spans="1:5" x14ac:dyDescent="0.3">
      <c r="A7" s="11" t="s">
        <v>61</v>
      </c>
      <c r="B7">
        <v>40</v>
      </c>
      <c r="C7">
        <v>53</v>
      </c>
      <c r="E7">
        <v>93</v>
      </c>
    </row>
    <row r="8" spans="1:5" x14ac:dyDescent="0.3">
      <c r="A8" s="11" t="s">
        <v>192</v>
      </c>
      <c r="C8">
        <v>3</v>
      </c>
      <c r="D8">
        <v>7</v>
      </c>
      <c r="E8">
        <v>10</v>
      </c>
    </row>
    <row r="9" spans="1:5" x14ac:dyDescent="0.3">
      <c r="A9" s="11" t="s">
        <v>79</v>
      </c>
      <c r="B9">
        <v>43</v>
      </c>
      <c r="C9">
        <v>52</v>
      </c>
      <c r="E9">
        <v>95</v>
      </c>
    </row>
    <row r="10" spans="1:5" x14ac:dyDescent="0.3">
      <c r="A10" s="11" t="s">
        <v>1027</v>
      </c>
      <c r="B10">
        <v>174</v>
      </c>
      <c r="C10">
        <v>239</v>
      </c>
      <c r="D10">
        <v>7</v>
      </c>
      <c r="E10">
        <v>420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43EE5-0EC7-4A75-8F22-B8FF7C648104}">
  <sheetPr codeName="Sheet3"/>
  <dimension ref="A1:AE421"/>
  <sheetViews>
    <sheetView workbookViewId="0"/>
  </sheetViews>
  <sheetFormatPr defaultRowHeight="14.4" x14ac:dyDescent="0.3"/>
  <cols>
    <col min="1" max="1" width="15.109375" bestFit="1" customWidth="1"/>
    <col min="2" max="2" width="13.33203125" bestFit="1" customWidth="1"/>
    <col min="3" max="3" width="15.77734375" bestFit="1" customWidth="1"/>
    <col min="4" max="4" width="16" bestFit="1" customWidth="1"/>
    <col min="5" max="5" width="14.88671875" bestFit="1" customWidth="1"/>
    <col min="6" max="6" width="15.88671875" bestFit="1" customWidth="1"/>
    <col min="7" max="7" width="20.21875" bestFit="1" customWidth="1"/>
    <col min="8" max="8" width="13.6640625" bestFit="1" customWidth="1"/>
    <col min="9" max="9" width="11.21875" bestFit="1" customWidth="1"/>
    <col min="10" max="10" width="18.44140625" bestFit="1" customWidth="1"/>
    <col min="11" max="11" width="9.88671875" bestFit="1" customWidth="1"/>
    <col min="12" max="12" width="12.21875" bestFit="1" customWidth="1"/>
    <col min="13" max="13" width="13.5546875" bestFit="1" customWidth="1"/>
    <col min="14" max="14" width="16.21875" bestFit="1" customWidth="1"/>
    <col min="15" max="15" width="17.109375" bestFit="1" customWidth="1"/>
    <col min="16" max="16" width="21" bestFit="1" customWidth="1"/>
    <col min="17" max="17" width="14.44140625" bestFit="1" customWidth="1"/>
    <col min="18" max="18" width="14.88671875" bestFit="1" customWidth="1"/>
    <col min="19" max="19" width="18.33203125" bestFit="1" customWidth="1"/>
    <col min="20" max="20" width="19.109375" bestFit="1" customWidth="1"/>
    <col min="21" max="21" width="17.5546875" bestFit="1" customWidth="1"/>
    <col min="22" max="22" width="11.33203125" bestFit="1" customWidth="1"/>
    <col min="23" max="23" width="15.44140625" bestFit="1" customWidth="1"/>
    <col min="24" max="24" width="21.33203125" bestFit="1" customWidth="1"/>
    <col min="25" max="25" width="18.88671875" bestFit="1" customWidth="1"/>
    <col min="26" max="26" width="63.33203125" bestFit="1" customWidth="1"/>
    <col min="27" max="27" width="20.77734375" bestFit="1" customWidth="1"/>
    <col min="28" max="28" width="20.21875" bestFit="1" customWidth="1"/>
    <col min="29" max="29" width="13.33203125" bestFit="1" customWidth="1"/>
    <col min="30" max="30" width="12.44140625" bestFit="1" customWidth="1"/>
    <col min="31" max="31" width="17.5546875" bestFit="1" customWidth="1"/>
  </cols>
  <sheetData>
    <row r="1" spans="1:31" x14ac:dyDescent="0.3">
      <c r="A1" t="s">
        <v>128</v>
      </c>
      <c r="B1" t="s">
        <v>109</v>
      </c>
      <c r="C1" t="s">
        <v>129</v>
      </c>
      <c r="D1" t="s">
        <v>130</v>
      </c>
      <c r="E1" t="s">
        <v>131</v>
      </c>
      <c r="F1" t="s">
        <v>132</v>
      </c>
      <c r="G1" t="s">
        <v>133</v>
      </c>
      <c r="H1" t="s">
        <v>134</v>
      </c>
      <c r="I1" t="s">
        <v>135</v>
      </c>
      <c r="J1" t="s">
        <v>136</v>
      </c>
      <c r="K1" t="s">
        <v>137</v>
      </c>
      <c r="L1" t="s">
        <v>138</v>
      </c>
      <c r="M1" t="s">
        <v>139</v>
      </c>
      <c r="N1" t="s">
        <v>140</v>
      </c>
      <c r="O1" t="s">
        <v>141</v>
      </c>
      <c r="P1" t="s">
        <v>142</v>
      </c>
      <c r="Q1" t="s">
        <v>143</v>
      </c>
      <c r="R1" t="s">
        <v>144</v>
      </c>
      <c r="S1" t="s">
        <v>145</v>
      </c>
      <c r="T1" t="s">
        <v>146</v>
      </c>
      <c r="U1" t="s">
        <v>147</v>
      </c>
      <c r="V1" t="s">
        <v>148</v>
      </c>
      <c r="W1" t="s">
        <v>149</v>
      </c>
      <c r="X1" t="s">
        <v>150</v>
      </c>
      <c r="Y1" t="s">
        <v>151</v>
      </c>
      <c r="Z1" t="s">
        <v>152</v>
      </c>
      <c r="AA1" t="s">
        <v>153</v>
      </c>
      <c r="AB1" t="s">
        <v>186</v>
      </c>
      <c r="AC1" t="s">
        <v>187</v>
      </c>
      <c r="AD1" t="s">
        <v>188</v>
      </c>
      <c r="AE1" t="s">
        <v>189</v>
      </c>
    </row>
    <row r="2" spans="1:31" x14ac:dyDescent="0.3">
      <c r="A2" t="s">
        <v>156</v>
      </c>
      <c r="B2" t="s">
        <v>157</v>
      </c>
      <c r="C2" t="s">
        <v>54</v>
      </c>
      <c r="D2" t="s">
        <v>158</v>
      </c>
      <c r="E2" t="s">
        <v>63</v>
      </c>
      <c r="F2" s="9">
        <v>45907</v>
      </c>
      <c r="G2" s="9">
        <v>45793</v>
      </c>
      <c r="H2" t="s">
        <v>50</v>
      </c>
      <c r="I2" t="s">
        <v>52</v>
      </c>
      <c r="J2" t="s">
        <v>88</v>
      </c>
      <c r="K2" t="s">
        <v>54</v>
      </c>
      <c r="L2" t="s">
        <v>73</v>
      </c>
      <c r="M2" t="s">
        <v>66</v>
      </c>
      <c r="N2">
        <v>4</v>
      </c>
      <c r="O2" t="s">
        <v>64</v>
      </c>
      <c r="P2" t="s">
        <v>54</v>
      </c>
      <c r="Q2" s="9">
        <v>45905</v>
      </c>
      <c r="R2" t="s">
        <v>75</v>
      </c>
      <c r="S2">
        <v>3</v>
      </c>
      <c r="T2">
        <v>1</v>
      </c>
      <c r="U2">
        <v>2</v>
      </c>
      <c r="V2" t="s">
        <v>64</v>
      </c>
      <c r="W2">
        <v>1</v>
      </c>
      <c r="X2" t="s">
        <v>64</v>
      </c>
      <c r="Y2" t="s">
        <v>190</v>
      </c>
      <c r="Z2" t="s">
        <v>190</v>
      </c>
      <c r="AA2">
        <v>19.8</v>
      </c>
      <c r="AB2" t="s">
        <v>51</v>
      </c>
      <c r="AC2" t="s">
        <v>181</v>
      </c>
      <c r="AD2" t="s">
        <v>191</v>
      </c>
      <c r="AE2" t="s">
        <v>192</v>
      </c>
    </row>
    <row r="3" spans="1:31" x14ac:dyDescent="0.3">
      <c r="A3" t="s">
        <v>193</v>
      </c>
      <c r="B3" t="s">
        <v>194</v>
      </c>
      <c r="C3" t="s">
        <v>54</v>
      </c>
      <c r="D3" t="s">
        <v>158</v>
      </c>
      <c r="E3" t="s">
        <v>53</v>
      </c>
      <c r="F3" s="9">
        <v>45912</v>
      </c>
      <c r="G3" s="9">
        <v>45811</v>
      </c>
      <c r="H3" t="s">
        <v>50</v>
      </c>
      <c r="I3" t="s">
        <v>72</v>
      </c>
      <c r="J3" t="s">
        <v>69</v>
      </c>
      <c r="K3" t="s">
        <v>54</v>
      </c>
      <c r="L3" t="s">
        <v>55</v>
      </c>
      <c r="M3" t="s">
        <v>66</v>
      </c>
      <c r="N3">
        <v>2</v>
      </c>
      <c r="O3" t="s">
        <v>64</v>
      </c>
      <c r="P3" t="s">
        <v>54</v>
      </c>
      <c r="Q3" s="9">
        <v>45861</v>
      </c>
      <c r="R3" t="s">
        <v>83</v>
      </c>
      <c r="S3">
        <v>5</v>
      </c>
      <c r="T3">
        <v>1</v>
      </c>
      <c r="U3">
        <v>3</v>
      </c>
      <c r="V3" t="s">
        <v>64</v>
      </c>
      <c r="W3">
        <v>4</v>
      </c>
      <c r="X3" t="s">
        <v>64</v>
      </c>
      <c r="Y3" t="s">
        <v>190</v>
      </c>
      <c r="Z3" t="s">
        <v>195</v>
      </c>
      <c r="AA3">
        <v>27.3</v>
      </c>
      <c r="AB3" t="s">
        <v>51</v>
      </c>
      <c r="AC3" t="s">
        <v>180</v>
      </c>
      <c r="AD3" t="s">
        <v>196</v>
      </c>
      <c r="AE3" t="s">
        <v>192</v>
      </c>
    </row>
    <row r="4" spans="1:31" x14ac:dyDescent="0.3">
      <c r="A4" t="s">
        <v>197</v>
      </c>
      <c r="B4" t="s">
        <v>198</v>
      </c>
      <c r="C4" t="s">
        <v>54</v>
      </c>
      <c r="D4" t="s">
        <v>158</v>
      </c>
      <c r="E4" t="s">
        <v>53</v>
      </c>
      <c r="F4" s="9">
        <v>45902</v>
      </c>
      <c r="G4" s="9">
        <v>45803</v>
      </c>
      <c r="H4" t="s">
        <v>50</v>
      </c>
      <c r="I4" t="s">
        <v>62</v>
      </c>
      <c r="J4" t="s">
        <v>85</v>
      </c>
      <c r="K4" t="s">
        <v>54</v>
      </c>
      <c r="L4" t="s">
        <v>81</v>
      </c>
      <c r="M4" t="s">
        <v>56</v>
      </c>
      <c r="N4">
        <v>6</v>
      </c>
      <c r="O4" t="s">
        <v>64</v>
      </c>
      <c r="P4" t="s">
        <v>64</v>
      </c>
      <c r="Q4" s="9"/>
      <c r="R4" t="s">
        <v>190</v>
      </c>
      <c r="V4" t="s">
        <v>190</v>
      </c>
      <c r="W4">
        <v>4</v>
      </c>
      <c r="X4" t="s">
        <v>64</v>
      </c>
      <c r="Y4" t="s">
        <v>190</v>
      </c>
      <c r="Z4" t="s">
        <v>190</v>
      </c>
      <c r="AA4">
        <v>30.1</v>
      </c>
      <c r="AB4" t="s">
        <v>51</v>
      </c>
      <c r="AC4" t="s">
        <v>180</v>
      </c>
      <c r="AD4" t="s">
        <v>192</v>
      </c>
      <c r="AE4" t="s">
        <v>192</v>
      </c>
    </row>
    <row r="5" spans="1:31" x14ac:dyDescent="0.3">
      <c r="A5" t="s">
        <v>199</v>
      </c>
      <c r="B5" t="s">
        <v>200</v>
      </c>
      <c r="C5" t="s">
        <v>54</v>
      </c>
      <c r="D5" t="s">
        <v>158</v>
      </c>
      <c r="E5" t="s">
        <v>63</v>
      </c>
      <c r="F5" s="9">
        <v>45902</v>
      </c>
      <c r="G5" s="9">
        <v>45824</v>
      </c>
      <c r="H5" t="s">
        <v>78</v>
      </c>
      <c r="I5" t="s">
        <v>97</v>
      </c>
      <c r="J5" t="s">
        <v>77</v>
      </c>
      <c r="K5" t="s">
        <v>54</v>
      </c>
      <c r="L5" t="s">
        <v>65</v>
      </c>
      <c r="M5" t="s">
        <v>56</v>
      </c>
      <c r="N5">
        <v>3</v>
      </c>
      <c r="O5" t="s">
        <v>64</v>
      </c>
      <c r="P5" t="s">
        <v>54</v>
      </c>
      <c r="Q5" s="9">
        <v>45901</v>
      </c>
      <c r="R5" t="s">
        <v>67</v>
      </c>
      <c r="S5">
        <v>4</v>
      </c>
      <c r="T5">
        <v>3</v>
      </c>
      <c r="U5">
        <v>4</v>
      </c>
      <c r="V5" t="s">
        <v>64</v>
      </c>
      <c r="W5">
        <v>3</v>
      </c>
      <c r="X5" t="s">
        <v>64</v>
      </c>
      <c r="Y5" t="s">
        <v>190</v>
      </c>
      <c r="Z5" t="s">
        <v>190</v>
      </c>
      <c r="AA5">
        <v>26.5</v>
      </c>
      <c r="AB5" t="s">
        <v>79</v>
      </c>
      <c r="AC5" t="s">
        <v>181</v>
      </c>
      <c r="AD5" t="s">
        <v>201</v>
      </c>
      <c r="AE5" t="s">
        <v>192</v>
      </c>
    </row>
    <row r="6" spans="1:31" x14ac:dyDescent="0.3">
      <c r="A6" t="s">
        <v>202</v>
      </c>
      <c r="B6" t="s">
        <v>203</v>
      </c>
      <c r="C6" t="s">
        <v>54</v>
      </c>
      <c r="D6" t="s">
        <v>158</v>
      </c>
      <c r="E6" t="s">
        <v>53</v>
      </c>
      <c r="F6" s="9">
        <v>45859</v>
      </c>
      <c r="G6" s="9">
        <v>45816</v>
      </c>
      <c r="H6" t="s">
        <v>70</v>
      </c>
      <c r="I6" t="s">
        <v>95</v>
      </c>
      <c r="J6" t="s">
        <v>92</v>
      </c>
      <c r="K6" t="s">
        <v>54</v>
      </c>
      <c r="L6" t="s">
        <v>65</v>
      </c>
      <c r="M6" t="s">
        <v>66</v>
      </c>
      <c r="N6">
        <v>3</v>
      </c>
      <c r="O6" t="s">
        <v>54</v>
      </c>
      <c r="P6" t="s">
        <v>54</v>
      </c>
      <c r="Q6" s="9">
        <v>45848</v>
      </c>
      <c r="R6" t="s">
        <v>67</v>
      </c>
      <c r="S6">
        <v>4</v>
      </c>
      <c r="T6">
        <v>3</v>
      </c>
      <c r="U6">
        <v>4</v>
      </c>
      <c r="V6" t="s">
        <v>64</v>
      </c>
      <c r="W6">
        <v>3</v>
      </c>
      <c r="X6" t="s">
        <v>64</v>
      </c>
      <c r="Y6" t="s">
        <v>190</v>
      </c>
      <c r="Z6" t="s">
        <v>190</v>
      </c>
      <c r="AA6">
        <v>27.2</v>
      </c>
      <c r="AB6" t="s">
        <v>71</v>
      </c>
      <c r="AC6" t="s">
        <v>180</v>
      </c>
      <c r="AD6" t="s">
        <v>201</v>
      </c>
      <c r="AE6" t="s">
        <v>192</v>
      </c>
    </row>
    <row r="7" spans="1:31" x14ac:dyDescent="0.3">
      <c r="A7" t="s">
        <v>204</v>
      </c>
      <c r="B7" t="s">
        <v>205</v>
      </c>
      <c r="C7" t="s">
        <v>54</v>
      </c>
      <c r="D7" t="s">
        <v>158</v>
      </c>
      <c r="E7" t="s">
        <v>53</v>
      </c>
      <c r="F7" s="9">
        <v>45749</v>
      </c>
      <c r="G7" s="9">
        <v>45649</v>
      </c>
      <c r="H7" t="s">
        <v>78</v>
      </c>
      <c r="I7" t="s">
        <v>97</v>
      </c>
      <c r="J7" t="s">
        <v>94</v>
      </c>
      <c r="K7" t="s">
        <v>54</v>
      </c>
      <c r="L7" t="s">
        <v>87</v>
      </c>
      <c r="M7" t="s">
        <v>56</v>
      </c>
      <c r="N7">
        <v>4</v>
      </c>
      <c r="O7" t="s">
        <v>64</v>
      </c>
      <c r="P7" t="s">
        <v>54</v>
      </c>
      <c r="Q7" s="9">
        <v>45746</v>
      </c>
      <c r="R7" t="s">
        <v>57</v>
      </c>
      <c r="S7">
        <v>3</v>
      </c>
      <c r="T7">
        <v>1</v>
      </c>
      <c r="U7">
        <v>3</v>
      </c>
      <c r="V7" t="s">
        <v>54</v>
      </c>
      <c r="W7">
        <v>3</v>
      </c>
      <c r="X7" t="s">
        <v>64</v>
      </c>
      <c r="Y7" t="s">
        <v>190</v>
      </c>
      <c r="Z7" t="s">
        <v>206</v>
      </c>
      <c r="AA7">
        <v>26.9</v>
      </c>
      <c r="AB7" t="s">
        <v>79</v>
      </c>
      <c r="AC7" t="s">
        <v>180</v>
      </c>
      <c r="AD7" t="s">
        <v>207</v>
      </c>
      <c r="AE7" t="s">
        <v>192</v>
      </c>
    </row>
    <row r="8" spans="1:31" x14ac:dyDescent="0.3">
      <c r="A8" t="s">
        <v>208</v>
      </c>
      <c r="B8" t="s">
        <v>209</v>
      </c>
      <c r="C8" t="s">
        <v>54</v>
      </c>
      <c r="D8" t="s">
        <v>158</v>
      </c>
      <c r="E8" t="s">
        <v>63</v>
      </c>
      <c r="F8" s="9">
        <v>45890</v>
      </c>
      <c r="G8" s="9">
        <v>45786</v>
      </c>
      <c r="H8" t="s">
        <v>190</v>
      </c>
      <c r="I8" t="s">
        <v>97</v>
      </c>
      <c r="J8" t="s">
        <v>88</v>
      </c>
      <c r="K8" t="s">
        <v>54</v>
      </c>
      <c r="L8" t="s">
        <v>65</v>
      </c>
      <c r="M8" t="s">
        <v>66</v>
      </c>
      <c r="N8">
        <v>10</v>
      </c>
      <c r="O8" t="s">
        <v>64</v>
      </c>
      <c r="P8" t="s">
        <v>54</v>
      </c>
      <c r="Q8" s="9">
        <v>45812</v>
      </c>
      <c r="R8" t="s">
        <v>57</v>
      </c>
      <c r="S8">
        <v>4</v>
      </c>
      <c r="T8">
        <v>4</v>
      </c>
      <c r="U8">
        <v>5</v>
      </c>
      <c r="V8" t="s">
        <v>64</v>
      </c>
      <c r="W8">
        <v>2</v>
      </c>
      <c r="X8" t="s">
        <v>64</v>
      </c>
      <c r="Y8" t="s">
        <v>190</v>
      </c>
      <c r="Z8" t="s">
        <v>190</v>
      </c>
      <c r="AA8">
        <v>21.2</v>
      </c>
      <c r="AB8" t="s">
        <v>192</v>
      </c>
      <c r="AC8" t="s">
        <v>181</v>
      </c>
      <c r="AD8" t="s">
        <v>207</v>
      </c>
      <c r="AE8" t="s">
        <v>192</v>
      </c>
    </row>
    <row r="9" spans="1:31" x14ac:dyDescent="0.3">
      <c r="A9" t="s">
        <v>210</v>
      </c>
      <c r="B9" t="s">
        <v>211</v>
      </c>
      <c r="C9" t="s">
        <v>54</v>
      </c>
      <c r="D9" t="s">
        <v>158</v>
      </c>
      <c r="E9" t="s">
        <v>63</v>
      </c>
      <c r="F9" s="9">
        <v>45780</v>
      </c>
      <c r="G9" s="9">
        <v>45711</v>
      </c>
      <c r="H9" t="s">
        <v>50</v>
      </c>
      <c r="I9" t="s">
        <v>62</v>
      </c>
      <c r="J9" t="s">
        <v>94</v>
      </c>
      <c r="K9" t="s">
        <v>54</v>
      </c>
      <c r="L9" t="s">
        <v>81</v>
      </c>
      <c r="M9" t="s">
        <v>66</v>
      </c>
      <c r="N9">
        <v>4</v>
      </c>
      <c r="O9" t="s">
        <v>64</v>
      </c>
      <c r="P9" t="s">
        <v>54</v>
      </c>
      <c r="Q9" s="9">
        <v>45757</v>
      </c>
      <c r="R9" t="s">
        <v>57</v>
      </c>
      <c r="S9">
        <v>3</v>
      </c>
      <c r="T9">
        <v>1</v>
      </c>
      <c r="U9">
        <v>1</v>
      </c>
      <c r="V9" t="s">
        <v>54</v>
      </c>
      <c r="W9">
        <v>3</v>
      </c>
      <c r="X9" t="s">
        <v>64</v>
      </c>
      <c r="Y9" t="s">
        <v>190</v>
      </c>
      <c r="Z9" t="s">
        <v>190</v>
      </c>
      <c r="AA9">
        <v>4.5</v>
      </c>
      <c r="AB9" t="s">
        <v>51</v>
      </c>
      <c r="AC9" t="s">
        <v>181</v>
      </c>
      <c r="AD9" t="s">
        <v>207</v>
      </c>
      <c r="AE9" t="s">
        <v>192</v>
      </c>
    </row>
    <row r="10" spans="1:31" x14ac:dyDescent="0.3">
      <c r="A10" t="s">
        <v>212</v>
      </c>
      <c r="B10" t="s">
        <v>213</v>
      </c>
      <c r="C10" t="s">
        <v>54</v>
      </c>
      <c r="D10" t="s">
        <v>158</v>
      </c>
      <c r="E10" t="s">
        <v>63</v>
      </c>
      <c r="F10" s="9">
        <v>45824</v>
      </c>
      <c r="G10" s="9">
        <v>45785</v>
      </c>
      <c r="H10" t="s">
        <v>78</v>
      </c>
      <c r="I10" t="s">
        <v>98</v>
      </c>
      <c r="J10" t="s">
        <v>77</v>
      </c>
      <c r="K10" t="s">
        <v>54</v>
      </c>
      <c r="L10" t="s">
        <v>65</v>
      </c>
      <c r="M10" t="s">
        <v>66</v>
      </c>
      <c r="N10">
        <v>6</v>
      </c>
      <c r="O10" t="s">
        <v>64</v>
      </c>
      <c r="P10" t="s">
        <v>64</v>
      </c>
      <c r="Q10" s="9"/>
      <c r="R10" t="s">
        <v>190</v>
      </c>
      <c r="V10" t="s">
        <v>190</v>
      </c>
      <c r="W10">
        <v>3</v>
      </c>
      <c r="X10" t="s">
        <v>64</v>
      </c>
      <c r="Y10" t="s">
        <v>190</v>
      </c>
      <c r="Z10" t="s">
        <v>190</v>
      </c>
      <c r="AA10">
        <v>8.1</v>
      </c>
      <c r="AB10" t="s">
        <v>79</v>
      </c>
      <c r="AC10" t="s">
        <v>181</v>
      </c>
      <c r="AD10" t="s">
        <v>192</v>
      </c>
      <c r="AE10" t="s">
        <v>192</v>
      </c>
    </row>
    <row r="11" spans="1:31" x14ac:dyDescent="0.3">
      <c r="A11" t="s">
        <v>214</v>
      </c>
      <c r="B11" t="s">
        <v>215</v>
      </c>
      <c r="C11" t="s">
        <v>54</v>
      </c>
      <c r="D11" t="s">
        <v>158</v>
      </c>
      <c r="E11" t="s">
        <v>53</v>
      </c>
      <c r="F11" s="9">
        <v>45810</v>
      </c>
      <c r="G11" s="9">
        <v>45663</v>
      </c>
      <c r="H11" t="s">
        <v>50</v>
      </c>
      <c r="I11" t="s">
        <v>62</v>
      </c>
      <c r="J11" t="s">
        <v>77</v>
      </c>
      <c r="K11" t="s">
        <v>54</v>
      </c>
      <c r="L11" t="s">
        <v>87</v>
      </c>
      <c r="M11" t="s">
        <v>56</v>
      </c>
      <c r="N11">
        <v>2</v>
      </c>
      <c r="O11" t="s">
        <v>54</v>
      </c>
      <c r="P11" t="s">
        <v>54</v>
      </c>
      <c r="Q11" s="9">
        <v>45769</v>
      </c>
      <c r="R11" t="s">
        <v>75</v>
      </c>
      <c r="S11">
        <v>4</v>
      </c>
      <c r="T11">
        <v>4</v>
      </c>
      <c r="U11">
        <v>4</v>
      </c>
      <c r="V11" t="s">
        <v>64</v>
      </c>
      <c r="W11">
        <v>1</v>
      </c>
      <c r="X11" t="s">
        <v>64</v>
      </c>
      <c r="Y11" t="s">
        <v>190</v>
      </c>
      <c r="Z11" t="s">
        <v>190</v>
      </c>
      <c r="AA11">
        <v>14.1</v>
      </c>
      <c r="AB11" t="s">
        <v>51</v>
      </c>
      <c r="AC11" t="s">
        <v>180</v>
      </c>
      <c r="AD11" t="s">
        <v>191</v>
      </c>
      <c r="AE11" t="s">
        <v>192</v>
      </c>
    </row>
    <row r="12" spans="1:31" x14ac:dyDescent="0.3">
      <c r="A12" t="s">
        <v>216</v>
      </c>
      <c r="B12" t="s">
        <v>217</v>
      </c>
      <c r="C12" t="s">
        <v>54</v>
      </c>
      <c r="D12" t="s">
        <v>158</v>
      </c>
      <c r="E12" t="s">
        <v>63</v>
      </c>
      <c r="F12" s="9">
        <v>45898</v>
      </c>
      <c r="G12" s="9">
        <v>45784</v>
      </c>
      <c r="H12" t="s">
        <v>50</v>
      </c>
      <c r="I12" t="s">
        <v>72</v>
      </c>
      <c r="J12" t="s">
        <v>59</v>
      </c>
      <c r="K12" t="s">
        <v>54</v>
      </c>
      <c r="L12" t="s">
        <v>55</v>
      </c>
      <c r="M12" t="s">
        <v>66</v>
      </c>
      <c r="N12">
        <v>4</v>
      </c>
      <c r="O12" t="s">
        <v>64</v>
      </c>
      <c r="P12" t="s">
        <v>54</v>
      </c>
      <c r="Q12" s="9">
        <v>45898</v>
      </c>
      <c r="R12" t="s">
        <v>67</v>
      </c>
      <c r="S12">
        <v>5</v>
      </c>
      <c r="T12">
        <v>2</v>
      </c>
      <c r="U12">
        <v>3</v>
      </c>
      <c r="V12" t="s">
        <v>64</v>
      </c>
      <c r="W12">
        <v>4</v>
      </c>
      <c r="X12" t="s">
        <v>64</v>
      </c>
      <c r="Y12" t="s">
        <v>190</v>
      </c>
      <c r="Z12" t="s">
        <v>190</v>
      </c>
      <c r="AA12">
        <v>28.8</v>
      </c>
      <c r="AB12" t="s">
        <v>51</v>
      </c>
      <c r="AC12" t="s">
        <v>181</v>
      </c>
      <c r="AD12" t="s">
        <v>201</v>
      </c>
      <c r="AE12" t="s">
        <v>192</v>
      </c>
    </row>
    <row r="13" spans="1:31" x14ac:dyDescent="0.3">
      <c r="A13" t="s">
        <v>218</v>
      </c>
      <c r="B13" t="s">
        <v>219</v>
      </c>
      <c r="C13" t="s">
        <v>54</v>
      </c>
      <c r="D13" t="s">
        <v>158</v>
      </c>
      <c r="E13" t="s">
        <v>63</v>
      </c>
      <c r="F13" s="9">
        <v>45896</v>
      </c>
      <c r="G13" s="9">
        <v>45842</v>
      </c>
      <c r="H13" t="s">
        <v>78</v>
      </c>
      <c r="I13" t="s">
        <v>97</v>
      </c>
      <c r="J13" t="s">
        <v>77</v>
      </c>
      <c r="K13" t="s">
        <v>54</v>
      </c>
      <c r="L13" t="s">
        <v>65</v>
      </c>
      <c r="M13" t="s">
        <v>56</v>
      </c>
      <c r="N13">
        <v>7</v>
      </c>
      <c r="O13" t="s">
        <v>54</v>
      </c>
      <c r="P13" t="s">
        <v>54</v>
      </c>
      <c r="Q13" s="9">
        <v>45855</v>
      </c>
      <c r="R13" t="s">
        <v>83</v>
      </c>
      <c r="S13">
        <v>4</v>
      </c>
      <c r="T13">
        <v>2</v>
      </c>
      <c r="U13">
        <v>4</v>
      </c>
      <c r="V13" t="s">
        <v>54</v>
      </c>
      <c r="W13">
        <v>4</v>
      </c>
      <c r="X13" t="s">
        <v>64</v>
      </c>
      <c r="Y13" t="s">
        <v>190</v>
      </c>
      <c r="Z13" t="s">
        <v>190</v>
      </c>
      <c r="AA13">
        <v>28.9</v>
      </c>
      <c r="AB13" t="s">
        <v>79</v>
      </c>
      <c r="AC13" t="s">
        <v>181</v>
      </c>
      <c r="AD13" t="s">
        <v>196</v>
      </c>
      <c r="AE13" t="s">
        <v>192</v>
      </c>
    </row>
    <row r="14" spans="1:31" x14ac:dyDescent="0.3">
      <c r="A14" t="s">
        <v>220</v>
      </c>
      <c r="B14" t="s">
        <v>221</v>
      </c>
      <c r="C14" t="s">
        <v>54</v>
      </c>
      <c r="D14" t="s">
        <v>158</v>
      </c>
      <c r="E14" t="s">
        <v>63</v>
      </c>
      <c r="F14" s="9">
        <v>45762</v>
      </c>
      <c r="G14" s="9">
        <v>45715</v>
      </c>
      <c r="H14" t="s">
        <v>70</v>
      </c>
      <c r="I14" t="s">
        <v>91</v>
      </c>
      <c r="J14" t="s">
        <v>85</v>
      </c>
      <c r="K14" t="s">
        <v>54</v>
      </c>
      <c r="L14" t="s">
        <v>65</v>
      </c>
      <c r="M14" t="s">
        <v>56</v>
      </c>
      <c r="N14">
        <v>1</v>
      </c>
      <c r="O14" t="s">
        <v>64</v>
      </c>
      <c r="P14" t="s">
        <v>54</v>
      </c>
      <c r="Q14" s="9">
        <v>45724</v>
      </c>
      <c r="R14" t="s">
        <v>67</v>
      </c>
      <c r="S14">
        <v>5</v>
      </c>
      <c r="T14">
        <v>1</v>
      </c>
      <c r="U14">
        <v>2</v>
      </c>
      <c r="V14" t="s">
        <v>54</v>
      </c>
      <c r="W14">
        <v>5</v>
      </c>
      <c r="X14" t="s">
        <v>54</v>
      </c>
      <c r="Y14" t="s">
        <v>58</v>
      </c>
      <c r="Z14" t="s">
        <v>190</v>
      </c>
      <c r="AA14">
        <v>18.7</v>
      </c>
      <c r="AB14" t="s">
        <v>71</v>
      </c>
      <c r="AC14" t="s">
        <v>181</v>
      </c>
      <c r="AD14" t="s">
        <v>201</v>
      </c>
      <c r="AE14" t="s">
        <v>222</v>
      </c>
    </row>
    <row r="15" spans="1:31" x14ac:dyDescent="0.3">
      <c r="A15" t="s">
        <v>223</v>
      </c>
      <c r="B15" t="s">
        <v>224</v>
      </c>
      <c r="C15" t="s">
        <v>54</v>
      </c>
      <c r="D15" t="s">
        <v>158</v>
      </c>
      <c r="E15" t="s">
        <v>63</v>
      </c>
      <c r="F15" s="9">
        <v>45837</v>
      </c>
      <c r="G15" s="9">
        <v>45774</v>
      </c>
      <c r="H15" t="s">
        <v>70</v>
      </c>
      <c r="I15" t="s">
        <v>91</v>
      </c>
      <c r="J15" t="s">
        <v>90</v>
      </c>
      <c r="K15" t="s">
        <v>54</v>
      </c>
      <c r="L15" t="s">
        <v>73</v>
      </c>
      <c r="M15" t="s">
        <v>66</v>
      </c>
      <c r="N15">
        <v>7</v>
      </c>
      <c r="O15" t="s">
        <v>64</v>
      </c>
      <c r="P15" t="s">
        <v>54</v>
      </c>
      <c r="Q15" s="9">
        <v>45792</v>
      </c>
      <c r="R15" t="s">
        <v>83</v>
      </c>
      <c r="S15">
        <v>3</v>
      </c>
      <c r="T15">
        <v>3</v>
      </c>
      <c r="U15">
        <v>5</v>
      </c>
      <c r="V15" t="s">
        <v>64</v>
      </c>
      <c r="W15">
        <v>2</v>
      </c>
      <c r="X15" t="s">
        <v>64</v>
      </c>
      <c r="Y15" t="s">
        <v>190</v>
      </c>
      <c r="Z15" t="s">
        <v>190</v>
      </c>
      <c r="AA15">
        <v>9.9</v>
      </c>
      <c r="AB15" t="s">
        <v>71</v>
      </c>
      <c r="AC15" t="s">
        <v>181</v>
      </c>
      <c r="AD15" t="s">
        <v>196</v>
      </c>
      <c r="AE15" t="s">
        <v>192</v>
      </c>
    </row>
    <row r="16" spans="1:31" x14ac:dyDescent="0.3">
      <c r="A16" t="s">
        <v>225</v>
      </c>
      <c r="B16" t="s">
        <v>226</v>
      </c>
      <c r="C16" t="s">
        <v>54</v>
      </c>
      <c r="D16" t="s">
        <v>158</v>
      </c>
      <c r="E16" t="s">
        <v>63</v>
      </c>
      <c r="F16" s="9">
        <v>45878</v>
      </c>
      <c r="G16" s="9">
        <v>45754</v>
      </c>
      <c r="H16" t="s">
        <v>70</v>
      </c>
      <c r="I16" t="s">
        <v>95</v>
      </c>
      <c r="J16" t="s">
        <v>69</v>
      </c>
      <c r="K16" t="s">
        <v>54</v>
      </c>
      <c r="L16" t="s">
        <v>65</v>
      </c>
      <c r="M16" t="s">
        <v>66</v>
      </c>
      <c r="N16">
        <v>2</v>
      </c>
      <c r="O16" t="s">
        <v>64</v>
      </c>
      <c r="P16" t="s">
        <v>64</v>
      </c>
      <c r="Q16" s="9"/>
      <c r="R16" t="s">
        <v>190</v>
      </c>
      <c r="V16" t="s">
        <v>190</v>
      </c>
      <c r="W16">
        <v>5</v>
      </c>
      <c r="X16" t="s">
        <v>64</v>
      </c>
      <c r="Y16" t="s">
        <v>190</v>
      </c>
      <c r="Z16" t="s">
        <v>190</v>
      </c>
      <c r="AA16">
        <v>19.7</v>
      </c>
      <c r="AB16" t="s">
        <v>71</v>
      </c>
      <c r="AC16" t="s">
        <v>181</v>
      </c>
      <c r="AD16" t="s">
        <v>192</v>
      </c>
      <c r="AE16" t="s">
        <v>192</v>
      </c>
    </row>
    <row r="17" spans="1:31" x14ac:dyDescent="0.3">
      <c r="A17" t="s">
        <v>227</v>
      </c>
      <c r="B17" t="s">
        <v>228</v>
      </c>
      <c r="C17" t="s">
        <v>54</v>
      </c>
      <c r="D17" t="s">
        <v>158</v>
      </c>
      <c r="E17" t="s">
        <v>53</v>
      </c>
      <c r="F17" s="9">
        <v>45923</v>
      </c>
      <c r="G17" s="9">
        <v>45774</v>
      </c>
      <c r="H17" t="s">
        <v>50</v>
      </c>
      <c r="I17" t="s">
        <v>52</v>
      </c>
      <c r="J17" t="s">
        <v>90</v>
      </c>
      <c r="K17" t="s">
        <v>54</v>
      </c>
      <c r="L17" t="s">
        <v>81</v>
      </c>
      <c r="M17" t="s">
        <v>56</v>
      </c>
      <c r="N17">
        <v>2</v>
      </c>
      <c r="O17" t="s">
        <v>64</v>
      </c>
      <c r="P17" t="s">
        <v>54</v>
      </c>
      <c r="Q17" s="9">
        <v>45789</v>
      </c>
      <c r="R17" t="s">
        <v>57</v>
      </c>
      <c r="S17">
        <v>3</v>
      </c>
      <c r="T17">
        <v>3</v>
      </c>
      <c r="U17">
        <v>5</v>
      </c>
      <c r="V17" t="s">
        <v>54</v>
      </c>
      <c r="W17">
        <v>3</v>
      </c>
      <c r="X17" t="s">
        <v>64</v>
      </c>
      <c r="Y17" t="s">
        <v>190</v>
      </c>
      <c r="Z17" t="s">
        <v>190</v>
      </c>
      <c r="AA17">
        <v>19.5</v>
      </c>
      <c r="AB17" t="s">
        <v>51</v>
      </c>
      <c r="AC17" t="s">
        <v>180</v>
      </c>
      <c r="AD17" t="s">
        <v>207</v>
      </c>
      <c r="AE17" t="s">
        <v>192</v>
      </c>
    </row>
    <row r="18" spans="1:31" x14ac:dyDescent="0.3">
      <c r="A18" t="s">
        <v>229</v>
      </c>
      <c r="B18" t="s">
        <v>230</v>
      </c>
      <c r="C18" t="s">
        <v>54</v>
      </c>
      <c r="D18" t="s">
        <v>158</v>
      </c>
      <c r="E18" t="s">
        <v>53</v>
      </c>
      <c r="F18" s="9">
        <v>45767</v>
      </c>
      <c r="G18" s="9">
        <v>45695</v>
      </c>
      <c r="H18" t="s">
        <v>70</v>
      </c>
      <c r="I18" t="s">
        <v>91</v>
      </c>
      <c r="J18" t="s">
        <v>59</v>
      </c>
      <c r="K18" t="s">
        <v>54</v>
      </c>
      <c r="L18" t="s">
        <v>73</v>
      </c>
      <c r="M18" t="s">
        <v>56</v>
      </c>
      <c r="N18">
        <v>4</v>
      </c>
      <c r="O18" t="s">
        <v>64</v>
      </c>
      <c r="P18" t="s">
        <v>54</v>
      </c>
      <c r="Q18" s="9">
        <v>45701</v>
      </c>
      <c r="R18" t="s">
        <v>57</v>
      </c>
      <c r="S18">
        <v>4</v>
      </c>
      <c r="T18">
        <v>3</v>
      </c>
      <c r="U18">
        <v>3</v>
      </c>
      <c r="V18" t="s">
        <v>54</v>
      </c>
      <c r="W18">
        <v>5</v>
      </c>
      <c r="X18" t="s">
        <v>64</v>
      </c>
      <c r="Y18" t="s">
        <v>190</v>
      </c>
      <c r="Z18" t="s">
        <v>190</v>
      </c>
      <c r="AA18">
        <v>29.6</v>
      </c>
      <c r="AB18" t="s">
        <v>71</v>
      </c>
      <c r="AC18" t="s">
        <v>180</v>
      </c>
      <c r="AD18" t="s">
        <v>207</v>
      </c>
      <c r="AE18" t="s">
        <v>192</v>
      </c>
    </row>
    <row r="19" spans="1:31" x14ac:dyDescent="0.3">
      <c r="A19" t="s">
        <v>231</v>
      </c>
      <c r="B19" t="s">
        <v>232</v>
      </c>
      <c r="C19" t="s">
        <v>54</v>
      </c>
      <c r="D19" t="s">
        <v>158</v>
      </c>
      <c r="E19" t="s">
        <v>63</v>
      </c>
      <c r="F19" s="9">
        <v>45907</v>
      </c>
      <c r="G19" s="9">
        <v>45787</v>
      </c>
      <c r="H19" t="s">
        <v>78</v>
      </c>
      <c r="I19" t="s">
        <v>97</v>
      </c>
      <c r="J19" t="s">
        <v>85</v>
      </c>
      <c r="K19" t="s">
        <v>54</v>
      </c>
      <c r="L19" t="s">
        <v>73</v>
      </c>
      <c r="M19" t="s">
        <v>56</v>
      </c>
      <c r="N19">
        <v>4</v>
      </c>
      <c r="O19" t="s">
        <v>64</v>
      </c>
      <c r="P19" t="s">
        <v>64</v>
      </c>
      <c r="Q19" s="9"/>
      <c r="R19" t="s">
        <v>190</v>
      </c>
      <c r="V19" t="s">
        <v>190</v>
      </c>
      <c r="W19">
        <v>4</v>
      </c>
      <c r="X19" t="s">
        <v>64</v>
      </c>
      <c r="Y19" t="s">
        <v>190</v>
      </c>
      <c r="Z19" t="s">
        <v>190</v>
      </c>
      <c r="AA19">
        <v>12.8</v>
      </c>
      <c r="AB19" t="s">
        <v>79</v>
      </c>
      <c r="AC19" t="s">
        <v>181</v>
      </c>
      <c r="AD19" t="s">
        <v>192</v>
      </c>
      <c r="AE19" t="s">
        <v>192</v>
      </c>
    </row>
    <row r="20" spans="1:31" x14ac:dyDescent="0.3">
      <c r="A20" t="s">
        <v>233</v>
      </c>
      <c r="B20" t="s">
        <v>234</v>
      </c>
      <c r="C20" t="s">
        <v>54</v>
      </c>
      <c r="D20" t="s">
        <v>158</v>
      </c>
      <c r="E20" t="s">
        <v>63</v>
      </c>
      <c r="F20" s="9">
        <v>45817</v>
      </c>
      <c r="G20" s="9">
        <v>45772</v>
      </c>
      <c r="H20" t="s">
        <v>70</v>
      </c>
      <c r="I20" t="s">
        <v>93</v>
      </c>
      <c r="J20" t="s">
        <v>59</v>
      </c>
      <c r="K20" t="s">
        <v>54</v>
      </c>
      <c r="L20" t="s">
        <v>73</v>
      </c>
      <c r="M20" t="s">
        <v>56</v>
      </c>
      <c r="N20">
        <v>3</v>
      </c>
      <c r="O20" t="s">
        <v>64</v>
      </c>
      <c r="P20" t="s">
        <v>54</v>
      </c>
      <c r="Q20" s="9">
        <v>45798</v>
      </c>
      <c r="R20" t="s">
        <v>57</v>
      </c>
      <c r="S20">
        <v>4</v>
      </c>
      <c r="T20">
        <v>1</v>
      </c>
      <c r="U20">
        <v>2</v>
      </c>
      <c r="V20" t="s">
        <v>64</v>
      </c>
      <c r="W20">
        <v>3</v>
      </c>
      <c r="X20" t="s">
        <v>64</v>
      </c>
      <c r="Y20" t="s">
        <v>190</v>
      </c>
      <c r="Z20" t="s">
        <v>190</v>
      </c>
      <c r="AA20">
        <v>20</v>
      </c>
      <c r="AB20" t="s">
        <v>71</v>
      </c>
      <c r="AC20" t="s">
        <v>181</v>
      </c>
      <c r="AD20" t="s">
        <v>207</v>
      </c>
      <c r="AE20" t="s">
        <v>192</v>
      </c>
    </row>
    <row r="21" spans="1:31" x14ac:dyDescent="0.3">
      <c r="A21" t="s">
        <v>235</v>
      </c>
      <c r="B21" t="s">
        <v>236</v>
      </c>
      <c r="C21" t="s">
        <v>54</v>
      </c>
      <c r="D21" t="s">
        <v>158</v>
      </c>
      <c r="E21" t="s">
        <v>53</v>
      </c>
      <c r="F21" s="9">
        <v>45885</v>
      </c>
      <c r="G21" s="9">
        <v>45852</v>
      </c>
      <c r="H21" t="s">
        <v>78</v>
      </c>
      <c r="I21" t="s">
        <v>97</v>
      </c>
      <c r="J21" t="s">
        <v>85</v>
      </c>
      <c r="K21" t="s">
        <v>54</v>
      </c>
      <c r="L21" t="s">
        <v>55</v>
      </c>
      <c r="M21" t="s">
        <v>66</v>
      </c>
      <c r="N21">
        <v>4</v>
      </c>
      <c r="O21" t="s">
        <v>54</v>
      </c>
      <c r="P21" t="s">
        <v>54</v>
      </c>
      <c r="Q21" s="9">
        <v>45860</v>
      </c>
      <c r="R21" t="s">
        <v>57</v>
      </c>
      <c r="S21">
        <v>3</v>
      </c>
      <c r="T21">
        <v>1</v>
      </c>
      <c r="U21">
        <v>3</v>
      </c>
      <c r="V21" t="s">
        <v>64</v>
      </c>
      <c r="W21">
        <v>5</v>
      </c>
      <c r="X21" t="s">
        <v>54</v>
      </c>
      <c r="Y21" t="s">
        <v>76</v>
      </c>
      <c r="Z21" t="s">
        <v>190</v>
      </c>
      <c r="AA21">
        <v>6.3</v>
      </c>
      <c r="AB21" t="s">
        <v>79</v>
      </c>
      <c r="AC21" t="s">
        <v>180</v>
      </c>
      <c r="AD21" t="s">
        <v>207</v>
      </c>
      <c r="AE21" t="s">
        <v>237</v>
      </c>
    </row>
    <row r="22" spans="1:31" x14ac:dyDescent="0.3">
      <c r="A22" t="s">
        <v>238</v>
      </c>
      <c r="B22" t="s">
        <v>239</v>
      </c>
      <c r="C22" t="s">
        <v>54</v>
      </c>
      <c r="D22" t="s">
        <v>158</v>
      </c>
      <c r="E22" t="s">
        <v>53</v>
      </c>
      <c r="F22" s="9">
        <v>46037</v>
      </c>
      <c r="G22" s="9">
        <v>45782</v>
      </c>
      <c r="H22" t="s">
        <v>60</v>
      </c>
      <c r="I22" t="s">
        <v>80</v>
      </c>
      <c r="J22" t="s">
        <v>85</v>
      </c>
      <c r="K22" t="s">
        <v>54</v>
      </c>
      <c r="L22" t="s">
        <v>87</v>
      </c>
      <c r="M22" t="s">
        <v>66</v>
      </c>
      <c r="N22">
        <v>6</v>
      </c>
      <c r="O22" t="s">
        <v>64</v>
      </c>
      <c r="P22" t="s">
        <v>54</v>
      </c>
      <c r="Q22" s="9">
        <v>45839</v>
      </c>
      <c r="R22" t="s">
        <v>67</v>
      </c>
      <c r="S22">
        <v>3</v>
      </c>
      <c r="T22">
        <v>4</v>
      </c>
      <c r="U22">
        <v>5</v>
      </c>
      <c r="V22" t="s">
        <v>54</v>
      </c>
      <c r="W22">
        <v>5</v>
      </c>
      <c r="X22" t="s">
        <v>64</v>
      </c>
      <c r="Y22" t="s">
        <v>190</v>
      </c>
      <c r="Z22" t="s">
        <v>190</v>
      </c>
      <c r="AA22">
        <v>28</v>
      </c>
      <c r="AB22" t="s">
        <v>61</v>
      </c>
      <c r="AC22" t="s">
        <v>180</v>
      </c>
      <c r="AD22" t="s">
        <v>201</v>
      </c>
      <c r="AE22" t="s">
        <v>192</v>
      </c>
    </row>
    <row r="23" spans="1:31" x14ac:dyDescent="0.3">
      <c r="A23" t="s">
        <v>240</v>
      </c>
      <c r="B23" t="s">
        <v>241</v>
      </c>
      <c r="C23" t="s">
        <v>54</v>
      </c>
      <c r="D23" t="s">
        <v>158</v>
      </c>
      <c r="E23" t="s">
        <v>63</v>
      </c>
      <c r="F23" s="9">
        <v>45751</v>
      </c>
      <c r="G23" s="9">
        <v>45702</v>
      </c>
      <c r="H23" t="s">
        <v>78</v>
      </c>
      <c r="I23" t="s">
        <v>96</v>
      </c>
      <c r="J23" t="s">
        <v>94</v>
      </c>
      <c r="K23" t="s">
        <v>54</v>
      </c>
      <c r="L23" t="s">
        <v>55</v>
      </c>
      <c r="M23" t="s">
        <v>66</v>
      </c>
      <c r="N23">
        <v>4</v>
      </c>
      <c r="O23" t="s">
        <v>64</v>
      </c>
      <c r="P23" t="s">
        <v>54</v>
      </c>
      <c r="Q23" s="9">
        <v>45718</v>
      </c>
      <c r="R23" t="s">
        <v>57</v>
      </c>
      <c r="S23">
        <v>4</v>
      </c>
      <c r="T23">
        <v>2</v>
      </c>
      <c r="U23">
        <v>3</v>
      </c>
      <c r="V23" t="s">
        <v>64</v>
      </c>
      <c r="W23">
        <v>3</v>
      </c>
      <c r="X23" t="s">
        <v>54</v>
      </c>
      <c r="Y23" t="s">
        <v>68</v>
      </c>
      <c r="Z23" t="s">
        <v>242</v>
      </c>
      <c r="AA23">
        <v>17.600000000000001</v>
      </c>
      <c r="AB23" t="s">
        <v>79</v>
      </c>
      <c r="AC23" t="s">
        <v>181</v>
      </c>
      <c r="AD23" t="s">
        <v>207</v>
      </c>
      <c r="AE23" t="s">
        <v>243</v>
      </c>
    </row>
    <row r="24" spans="1:31" x14ac:dyDescent="0.3">
      <c r="A24" t="s">
        <v>244</v>
      </c>
      <c r="B24" t="s">
        <v>245</v>
      </c>
      <c r="C24" t="s">
        <v>54</v>
      </c>
      <c r="D24" t="s">
        <v>158</v>
      </c>
      <c r="E24" t="s">
        <v>63</v>
      </c>
      <c r="F24" s="9">
        <v>45750</v>
      </c>
      <c r="G24" s="9">
        <v>45610</v>
      </c>
      <c r="H24" t="s">
        <v>78</v>
      </c>
      <c r="I24" t="s">
        <v>97</v>
      </c>
      <c r="J24" t="s">
        <v>59</v>
      </c>
      <c r="K24" t="s">
        <v>54</v>
      </c>
      <c r="L24" t="s">
        <v>65</v>
      </c>
      <c r="M24" t="s">
        <v>56</v>
      </c>
      <c r="N24">
        <v>7</v>
      </c>
      <c r="O24" t="s">
        <v>54</v>
      </c>
      <c r="P24" t="s">
        <v>54</v>
      </c>
      <c r="Q24" s="9">
        <v>45652</v>
      </c>
      <c r="R24" t="s">
        <v>67</v>
      </c>
      <c r="S24">
        <v>2</v>
      </c>
      <c r="T24">
        <v>3</v>
      </c>
      <c r="U24">
        <v>4</v>
      </c>
      <c r="V24" t="s">
        <v>64</v>
      </c>
      <c r="W24">
        <v>4</v>
      </c>
      <c r="X24" t="s">
        <v>64</v>
      </c>
      <c r="Y24" t="s">
        <v>190</v>
      </c>
      <c r="Z24" t="s">
        <v>190</v>
      </c>
      <c r="AA24">
        <v>15.4</v>
      </c>
      <c r="AB24" t="s">
        <v>79</v>
      </c>
      <c r="AC24" t="s">
        <v>181</v>
      </c>
      <c r="AD24" t="s">
        <v>201</v>
      </c>
      <c r="AE24" t="s">
        <v>192</v>
      </c>
    </row>
    <row r="25" spans="1:31" x14ac:dyDescent="0.3">
      <c r="A25" t="s">
        <v>246</v>
      </c>
      <c r="B25" t="s">
        <v>247</v>
      </c>
      <c r="C25" t="s">
        <v>54</v>
      </c>
      <c r="D25" t="s">
        <v>158</v>
      </c>
      <c r="E25" t="s">
        <v>63</v>
      </c>
      <c r="F25" s="9">
        <v>45811</v>
      </c>
      <c r="G25" s="9">
        <v>45672</v>
      </c>
      <c r="H25" t="s">
        <v>50</v>
      </c>
      <c r="I25" t="s">
        <v>62</v>
      </c>
      <c r="J25" t="s">
        <v>92</v>
      </c>
      <c r="K25" t="s">
        <v>54</v>
      </c>
      <c r="L25" t="s">
        <v>65</v>
      </c>
      <c r="M25" t="s">
        <v>66</v>
      </c>
      <c r="N25">
        <v>6</v>
      </c>
      <c r="O25" t="s">
        <v>64</v>
      </c>
      <c r="P25" t="s">
        <v>54</v>
      </c>
      <c r="Q25" s="9">
        <v>45750</v>
      </c>
      <c r="R25" t="s">
        <v>57</v>
      </c>
      <c r="S25">
        <v>5</v>
      </c>
      <c r="T25">
        <v>3</v>
      </c>
      <c r="U25">
        <v>4</v>
      </c>
      <c r="V25" t="s">
        <v>64</v>
      </c>
      <c r="W25">
        <v>3</v>
      </c>
      <c r="X25" t="s">
        <v>64</v>
      </c>
      <c r="Y25" t="s">
        <v>190</v>
      </c>
      <c r="Z25" t="s">
        <v>190</v>
      </c>
      <c r="AA25">
        <v>17.8</v>
      </c>
      <c r="AB25" t="s">
        <v>51</v>
      </c>
      <c r="AC25" t="s">
        <v>181</v>
      </c>
      <c r="AD25" t="s">
        <v>207</v>
      </c>
      <c r="AE25" t="s">
        <v>192</v>
      </c>
    </row>
    <row r="26" spans="1:31" x14ac:dyDescent="0.3">
      <c r="A26" t="s">
        <v>248</v>
      </c>
      <c r="B26" t="s">
        <v>249</v>
      </c>
      <c r="C26" t="s">
        <v>54</v>
      </c>
      <c r="D26" t="s">
        <v>158</v>
      </c>
      <c r="E26" t="s">
        <v>53</v>
      </c>
      <c r="F26" s="9">
        <v>45825</v>
      </c>
      <c r="G26" s="9">
        <v>45683</v>
      </c>
      <c r="H26" t="s">
        <v>78</v>
      </c>
      <c r="I26" t="s">
        <v>96</v>
      </c>
      <c r="J26" t="s">
        <v>77</v>
      </c>
      <c r="K26" t="s">
        <v>54</v>
      </c>
      <c r="L26" t="s">
        <v>81</v>
      </c>
      <c r="M26" t="s">
        <v>66</v>
      </c>
      <c r="N26">
        <v>4</v>
      </c>
      <c r="O26" t="s">
        <v>54</v>
      </c>
      <c r="P26" t="s">
        <v>64</v>
      </c>
      <c r="Q26" s="9"/>
      <c r="R26" t="s">
        <v>190</v>
      </c>
      <c r="V26" t="s">
        <v>190</v>
      </c>
      <c r="W26">
        <v>3</v>
      </c>
      <c r="X26" t="s">
        <v>64</v>
      </c>
      <c r="Y26" t="s">
        <v>190</v>
      </c>
      <c r="Z26" t="s">
        <v>190</v>
      </c>
      <c r="AA26">
        <v>20.3</v>
      </c>
      <c r="AB26" t="s">
        <v>79</v>
      </c>
      <c r="AC26" t="s">
        <v>180</v>
      </c>
      <c r="AD26" t="s">
        <v>192</v>
      </c>
      <c r="AE26" t="s">
        <v>192</v>
      </c>
    </row>
    <row r="27" spans="1:31" x14ac:dyDescent="0.3">
      <c r="A27" t="s">
        <v>250</v>
      </c>
      <c r="B27" t="s">
        <v>251</v>
      </c>
      <c r="C27" t="s">
        <v>54</v>
      </c>
      <c r="D27" t="s">
        <v>158</v>
      </c>
      <c r="E27" t="s">
        <v>63</v>
      </c>
      <c r="F27" s="9">
        <v>45885</v>
      </c>
      <c r="G27" s="9">
        <v>45837</v>
      </c>
      <c r="H27" t="s">
        <v>78</v>
      </c>
      <c r="I27" t="s">
        <v>97</v>
      </c>
      <c r="J27" t="s">
        <v>85</v>
      </c>
      <c r="K27" t="s">
        <v>54</v>
      </c>
      <c r="L27" t="s">
        <v>65</v>
      </c>
      <c r="M27" t="s">
        <v>56</v>
      </c>
      <c r="N27">
        <v>2</v>
      </c>
      <c r="O27" t="s">
        <v>64</v>
      </c>
      <c r="P27" t="s">
        <v>54</v>
      </c>
      <c r="Q27" s="9">
        <v>45850</v>
      </c>
      <c r="R27" t="s">
        <v>83</v>
      </c>
      <c r="S27">
        <v>4</v>
      </c>
      <c r="T27">
        <v>2</v>
      </c>
      <c r="U27">
        <v>2</v>
      </c>
      <c r="V27" t="s">
        <v>64</v>
      </c>
      <c r="W27">
        <v>5</v>
      </c>
      <c r="X27" t="s">
        <v>54</v>
      </c>
      <c r="Y27" t="s">
        <v>76</v>
      </c>
      <c r="Z27" t="s">
        <v>242</v>
      </c>
      <c r="AA27">
        <v>21.7</v>
      </c>
      <c r="AB27" t="s">
        <v>79</v>
      </c>
      <c r="AC27" t="s">
        <v>181</v>
      </c>
      <c r="AD27" t="s">
        <v>196</v>
      </c>
      <c r="AE27" t="s">
        <v>237</v>
      </c>
    </row>
    <row r="28" spans="1:31" x14ac:dyDescent="0.3">
      <c r="A28" t="s">
        <v>252</v>
      </c>
      <c r="B28" t="s">
        <v>253</v>
      </c>
      <c r="C28" t="s">
        <v>54</v>
      </c>
      <c r="D28" t="s">
        <v>158</v>
      </c>
      <c r="E28" t="s">
        <v>63</v>
      </c>
      <c r="F28" s="9">
        <v>45749</v>
      </c>
      <c r="G28" s="9">
        <v>45615</v>
      </c>
      <c r="H28" t="s">
        <v>50</v>
      </c>
      <c r="I28" t="s">
        <v>72</v>
      </c>
      <c r="J28" t="s">
        <v>85</v>
      </c>
      <c r="K28" t="s">
        <v>54</v>
      </c>
      <c r="L28" t="s">
        <v>65</v>
      </c>
      <c r="M28" t="s">
        <v>66</v>
      </c>
      <c r="N28">
        <v>3</v>
      </c>
      <c r="O28" t="s">
        <v>64</v>
      </c>
      <c r="P28" t="s">
        <v>54</v>
      </c>
      <c r="Q28" s="9">
        <v>45644</v>
      </c>
      <c r="R28" t="s">
        <v>57</v>
      </c>
      <c r="S28">
        <v>4</v>
      </c>
      <c r="T28">
        <v>2</v>
      </c>
      <c r="U28">
        <v>2</v>
      </c>
      <c r="V28" t="s">
        <v>64</v>
      </c>
      <c r="W28">
        <v>5</v>
      </c>
      <c r="X28" t="s">
        <v>54</v>
      </c>
      <c r="Y28" t="s">
        <v>58</v>
      </c>
      <c r="Z28" t="s">
        <v>242</v>
      </c>
      <c r="AA28">
        <v>16.7</v>
      </c>
      <c r="AB28" t="s">
        <v>51</v>
      </c>
      <c r="AC28" t="s">
        <v>181</v>
      </c>
      <c r="AD28" t="s">
        <v>207</v>
      </c>
      <c r="AE28" t="s">
        <v>222</v>
      </c>
    </row>
    <row r="29" spans="1:31" x14ac:dyDescent="0.3">
      <c r="A29" t="s">
        <v>254</v>
      </c>
      <c r="B29" t="s">
        <v>255</v>
      </c>
      <c r="C29" t="s">
        <v>54</v>
      </c>
      <c r="D29" t="s">
        <v>158</v>
      </c>
      <c r="E29" t="s">
        <v>53</v>
      </c>
      <c r="F29" s="9">
        <v>45847</v>
      </c>
      <c r="G29" s="9">
        <v>45776</v>
      </c>
      <c r="H29" t="s">
        <v>70</v>
      </c>
      <c r="I29" t="s">
        <v>95</v>
      </c>
      <c r="J29" t="s">
        <v>94</v>
      </c>
      <c r="K29" t="s">
        <v>54</v>
      </c>
      <c r="L29" t="s">
        <v>73</v>
      </c>
      <c r="M29" t="s">
        <v>56</v>
      </c>
      <c r="N29">
        <v>5</v>
      </c>
      <c r="O29" t="s">
        <v>64</v>
      </c>
      <c r="P29" t="s">
        <v>64</v>
      </c>
      <c r="Q29" s="9"/>
      <c r="R29" t="s">
        <v>190</v>
      </c>
      <c r="V29" t="s">
        <v>190</v>
      </c>
      <c r="W29">
        <v>3</v>
      </c>
      <c r="X29" t="s">
        <v>64</v>
      </c>
      <c r="Y29" t="s">
        <v>190</v>
      </c>
      <c r="Z29" t="s">
        <v>190</v>
      </c>
      <c r="AA29">
        <v>25.1</v>
      </c>
      <c r="AB29" t="s">
        <v>71</v>
      </c>
      <c r="AC29" t="s">
        <v>180</v>
      </c>
      <c r="AD29" t="s">
        <v>192</v>
      </c>
      <c r="AE29" t="s">
        <v>192</v>
      </c>
    </row>
    <row r="30" spans="1:31" x14ac:dyDescent="0.3">
      <c r="A30" t="s">
        <v>256</v>
      </c>
      <c r="B30" t="s">
        <v>257</v>
      </c>
      <c r="C30" t="s">
        <v>54</v>
      </c>
      <c r="D30" t="s">
        <v>158</v>
      </c>
      <c r="E30" t="s">
        <v>53</v>
      </c>
      <c r="F30" s="9">
        <v>45768</v>
      </c>
      <c r="G30" s="9">
        <v>45665</v>
      </c>
      <c r="H30" t="s">
        <v>60</v>
      </c>
      <c r="I30" t="s">
        <v>80</v>
      </c>
      <c r="J30" t="s">
        <v>59</v>
      </c>
      <c r="K30" t="s">
        <v>54</v>
      </c>
      <c r="L30" t="s">
        <v>55</v>
      </c>
      <c r="M30" t="s">
        <v>66</v>
      </c>
      <c r="N30">
        <v>5</v>
      </c>
      <c r="O30" t="s">
        <v>54</v>
      </c>
      <c r="P30" t="s">
        <v>64</v>
      </c>
      <c r="Q30" s="9"/>
      <c r="R30" t="s">
        <v>190</v>
      </c>
      <c r="V30" t="s">
        <v>190</v>
      </c>
      <c r="W30">
        <v>3</v>
      </c>
      <c r="X30" t="s">
        <v>64</v>
      </c>
      <c r="Y30" t="s">
        <v>190</v>
      </c>
      <c r="Z30" t="s">
        <v>190</v>
      </c>
      <c r="AA30">
        <v>30.7</v>
      </c>
      <c r="AB30" t="s">
        <v>61</v>
      </c>
      <c r="AC30" t="s">
        <v>180</v>
      </c>
      <c r="AD30" t="s">
        <v>192</v>
      </c>
      <c r="AE30" t="s">
        <v>192</v>
      </c>
    </row>
    <row r="31" spans="1:31" x14ac:dyDescent="0.3">
      <c r="A31" t="s">
        <v>258</v>
      </c>
      <c r="B31" t="s">
        <v>259</v>
      </c>
      <c r="C31" t="s">
        <v>54</v>
      </c>
      <c r="D31" t="s">
        <v>158</v>
      </c>
      <c r="E31" t="s">
        <v>190</v>
      </c>
      <c r="F31" s="9"/>
      <c r="G31" s="9"/>
      <c r="H31" t="s">
        <v>190</v>
      </c>
      <c r="I31" t="s">
        <v>190</v>
      </c>
      <c r="J31" t="s">
        <v>190</v>
      </c>
      <c r="K31" t="s">
        <v>64</v>
      </c>
      <c r="L31" t="s">
        <v>190</v>
      </c>
      <c r="M31" t="s">
        <v>190</v>
      </c>
      <c r="O31" t="s">
        <v>190</v>
      </c>
      <c r="P31" t="s">
        <v>190</v>
      </c>
      <c r="Q31" s="9"/>
      <c r="R31" t="s">
        <v>190</v>
      </c>
      <c r="V31" t="s">
        <v>190</v>
      </c>
      <c r="X31" t="s">
        <v>190</v>
      </c>
      <c r="Y31" t="s">
        <v>190</v>
      </c>
      <c r="Z31" t="s">
        <v>190</v>
      </c>
      <c r="AB31" t="s">
        <v>192</v>
      </c>
      <c r="AC31" t="s">
        <v>192</v>
      </c>
      <c r="AD31" t="s">
        <v>192</v>
      </c>
      <c r="AE31" t="s">
        <v>192</v>
      </c>
    </row>
    <row r="32" spans="1:31" x14ac:dyDescent="0.3">
      <c r="A32" t="s">
        <v>260</v>
      </c>
      <c r="B32" t="s">
        <v>261</v>
      </c>
      <c r="C32" t="s">
        <v>54</v>
      </c>
      <c r="D32" t="s">
        <v>158</v>
      </c>
      <c r="E32" t="s">
        <v>53</v>
      </c>
      <c r="F32" s="9">
        <v>45766</v>
      </c>
      <c r="G32" s="9">
        <v>45645</v>
      </c>
      <c r="H32" t="s">
        <v>50</v>
      </c>
      <c r="I32" t="s">
        <v>72</v>
      </c>
      <c r="J32" t="s">
        <v>88</v>
      </c>
      <c r="K32" t="s">
        <v>54</v>
      </c>
      <c r="L32" t="s">
        <v>65</v>
      </c>
      <c r="M32" t="s">
        <v>56</v>
      </c>
      <c r="N32">
        <v>5</v>
      </c>
      <c r="O32" t="s">
        <v>64</v>
      </c>
      <c r="P32" t="s">
        <v>54</v>
      </c>
      <c r="Q32" s="9">
        <v>45676</v>
      </c>
      <c r="R32" t="s">
        <v>83</v>
      </c>
      <c r="S32">
        <v>5</v>
      </c>
      <c r="T32">
        <v>3</v>
      </c>
      <c r="U32">
        <v>4</v>
      </c>
      <c r="V32" t="s">
        <v>54</v>
      </c>
      <c r="W32">
        <v>3</v>
      </c>
      <c r="X32" t="s">
        <v>64</v>
      </c>
      <c r="Y32" t="s">
        <v>190</v>
      </c>
      <c r="Z32" t="s">
        <v>190</v>
      </c>
      <c r="AA32">
        <v>28</v>
      </c>
      <c r="AB32" t="s">
        <v>51</v>
      </c>
      <c r="AC32" t="s">
        <v>180</v>
      </c>
      <c r="AD32" t="s">
        <v>196</v>
      </c>
      <c r="AE32" t="s">
        <v>192</v>
      </c>
    </row>
    <row r="33" spans="1:31" x14ac:dyDescent="0.3">
      <c r="A33" t="s">
        <v>262</v>
      </c>
      <c r="B33" t="s">
        <v>263</v>
      </c>
      <c r="C33" t="s">
        <v>54</v>
      </c>
      <c r="D33" t="s">
        <v>158</v>
      </c>
      <c r="E33" t="s">
        <v>63</v>
      </c>
      <c r="F33" s="9">
        <v>45840</v>
      </c>
      <c r="G33" s="9">
        <v>45772</v>
      </c>
      <c r="H33" t="s">
        <v>70</v>
      </c>
      <c r="I33" t="s">
        <v>95</v>
      </c>
      <c r="J33" t="s">
        <v>92</v>
      </c>
      <c r="K33" t="s">
        <v>54</v>
      </c>
      <c r="L33" t="s">
        <v>73</v>
      </c>
      <c r="M33" t="s">
        <v>66</v>
      </c>
      <c r="N33">
        <v>5</v>
      </c>
      <c r="O33" t="s">
        <v>64</v>
      </c>
      <c r="P33" t="s">
        <v>54</v>
      </c>
      <c r="Q33" s="9">
        <v>45821</v>
      </c>
      <c r="R33" t="s">
        <v>75</v>
      </c>
      <c r="S33">
        <v>5</v>
      </c>
      <c r="T33">
        <v>1</v>
      </c>
      <c r="U33">
        <v>2</v>
      </c>
      <c r="V33" t="s">
        <v>64</v>
      </c>
      <c r="W33">
        <v>4</v>
      </c>
      <c r="X33" t="s">
        <v>64</v>
      </c>
      <c r="Y33" t="s">
        <v>190</v>
      </c>
      <c r="Z33" t="s">
        <v>190</v>
      </c>
      <c r="AA33">
        <v>20.3</v>
      </c>
      <c r="AB33" t="s">
        <v>71</v>
      </c>
      <c r="AC33" t="s">
        <v>181</v>
      </c>
      <c r="AD33" t="s">
        <v>191</v>
      </c>
      <c r="AE33" t="s">
        <v>192</v>
      </c>
    </row>
    <row r="34" spans="1:31" x14ac:dyDescent="0.3">
      <c r="A34" t="s">
        <v>264</v>
      </c>
      <c r="B34" t="s">
        <v>265</v>
      </c>
      <c r="C34" t="s">
        <v>54</v>
      </c>
      <c r="D34" t="s">
        <v>158</v>
      </c>
      <c r="E34" t="s">
        <v>63</v>
      </c>
      <c r="F34" s="9">
        <v>45840</v>
      </c>
      <c r="G34" s="9">
        <v>45789</v>
      </c>
      <c r="H34" t="s">
        <v>78</v>
      </c>
      <c r="I34" t="s">
        <v>98</v>
      </c>
      <c r="J34" t="s">
        <v>85</v>
      </c>
      <c r="K34" t="s">
        <v>54</v>
      </c>
      <c r="L34" t="s">
        <v>81</v>
      </c>
      <c r="M34" t="s">
        <v>56</v>
      </c>
      <c r="N34">
        <v>7</v>
      </c>
      <c r="O34" t="s">
        <v>64</v>
      </c>
      <c r="P34" t="s">
        <v>54</v>
      </c>
      <c r="Q34" s="9">
        <v>45819</v>
      </c>
      <c r="R34" t="s">
        <v>83</v>
      </c>
      <c r="S34">
        <v>4</v>
      </c>
      <c r="T34">
        <v>3</v>
      </c>
      <c r="U34">
        <v>3</v>
      </c>
      <c r="V34" t="s">
        <v>54</v>
      </c>
      <c r="W34">
        <v>4</v>
      </c>
      <c r="X34" t="s">
        <v>64</v>
      </c>
      <c r="Y34" t="s">
        <v>190</v>
      </c>
      <c r="Z34" t="s">
        <v>266</v>
      </c>
      <c r="AA34">
        <v>14.4</v>
      </c>
      <c r="AB34" t="s">
        <v>79</v>
      </c>
      <c r="AC34" t="s">
        <v>181</v>
      </c>
      <c r="AD34" t="s">
        <v>196</v>
      </c>
      <c r="AE34" t="s">
        <v>192</v>
      </c>
    </row>
    <row r="35" spans="1:31" x14ac:dyDescent="0.3">
      <c r="A35" t="s">
        <v>267</v>
      </c>
      <c r="B35" t="s">
        <v>268</v>
      </c>
      <c r="C35" t="s">
        <v>54</v>
      </c>
      <c r="D35" t="s">
        <v>158</v>
      </c>
      <c r="E35" t="s">
        <v>53</v>
      </c>
      <c r="F35" s="9">
        <v>45803</v>
      </c>
      <c r="G35" s="9">
        <v>45761</v>
      </c>
      <c r="H35" t="s">
        <v>50</v>
      </c>
      <c r="I35" t="s">
        <v>52</v>
      </c>
      <c r="J35" t="s">
        <v>94</v>
      </c>
      <c r="K35" t="s">
        <v>54</v>
      </c>
      <c r="L35" t="s">
        <v>65</v>
      </c>
      <c r="M35" t="s">
        <v>74</v>
      </c>
      <c r="N35">
        <v>6</v>
      </c>
      <c r="O35" t="s">
        <v>64</v>
      </c>
      <c r="P35" t="s">
        <v>54</v>
      </c>
      <c r="Q35" s="9">
        <v>45794</v>
      </c>
      <c r="R35" t="s">
        <v>57</v>
      </c>
      <c r="S35">
        <v>3</v>
      </c>
      <c r="T35">
        <v>1</v>
      </c>
      <c r="U35">
        <v>2</v>
      </c>
      <c r="V35" t="s">
        <v>64</v>
      </c>
      <c r="W35">
        <v>1</v>
      </c>
      <c r="X35" t="s">
        <v>64</v>
      </c>
      <c r="Y35" t="s">
        <v>190</v>
      </c>
      <c r="Z35" t="s">
        <v>190</v>
      </c>
      <c r="AA35">
        <v>27.7</v>
      </c>
      <c r="AB35" t="s">
        <v>51</v>
      </c>
      <c r="AC35" t="s">
        <v>180</v>
      </c>
      <c r="AD35" t="s">
        <v>207</v>
      </c>
      <c r="AE35" t="s">
        <v>192</v>
      </c>
    </row>
    <row r="36" spans="1:31" x14ac:dyDescent="0.3">
      <c r="A36" t="s">
        <v>269</v>
      </c>
      <c r="B36" t="s">
        <v>270</v>
      </c>
      <c r="C36" t="s">
        <v>54</v>
      </c>
      <c r="D36" t="s">
        <v>158</v>
      </c>
      <c r="E36" t="s">
        <v>190</v>
      </c>
      <c r="F36" s="9"/>
      <c r="G36" s="9"/>
      <c r="H36" t="s">
        <v>190</v>
      </c>
      <c r="I36" t="s">
        <v>190</v>
      </c>
      <c r="J36" t="s">
        <v>190</v>
      </c>
      <c r="K36" t="s">
        <v>64</v>
      </c>
      <c r="L36" t="s">
        <v>190</v>
      </c>
      <c r="M36" t="s">
        <v>190</v>
      </c>
      <c r="O36" t="s">
        <v>190</v>
      </c>
      <c r="P36" t="s">
        <v>190</v>
      </c>
      <c r="Q36" s="9"/>
      <c r="R36" t="s">
        <v>190</v>
      </c>
      <c r="V36" t="s">
        <v>190</v>
      </c>
      <c r="X36" t="s">
        <v>190</v>
      </c>
      <c r="Y36" t="s">
        <v>190</v>
      </c>
      <c r="Z36" t="s">
        <v>190</v>
      </c>
      <c r="AB36" t="s">
        <v>192</v>
      </c>
      <c r="AC36" t="s">
        <v>192</v>
      </c>
      <c r="AD36" t="s">
        <v>192</v>
      </c>
      <c r="AE36" t="s">
        <v>192</v>
      </c>
    </row>
    <row r="37" spans="1:31" x14ac:dyDescent="0.3">
      <c r="A37" t="s">
        <v>271</v>
      </c>
      <c r="B37" t="s">
        <v>272</v>
      </c>
      <c r="C37" t="s">
        <v>54</v>
      </c>
      <c r="D37" t="s">
        <v>158</v>
      </c>
      <c r="E37" t="s">
        <v>53</v>
      </c>
      <c r="F37" s="9">
        <v>45838</v>
      </c>
      <c r="G37" s="9">
        <v>45694</v>
      </c>
      <c r="H37" t="s">
        <v>70</v>
      </c>
      <c r="I37" t="s">
        <v>93</v>
      </c>
      <c r="J37" t="s">
        <v>92</v>
      </c>
      <c r="K37" t="s">
        <v>54</v>
      </c>
      <c r="L37" t="s">
        <v>65</v>
      </c>
      <c r="M37" t="s">
        <v>56</v>
      </c>
      <c r="N37">
        <v>6</v>
      </c>
      <c r="O37" t="s">
        <v>54</v>
      </c>
      <c r="P37" t="s">
        <v>54</v>
      </c>
      <c r="Q37" s="9">
        <v>45807</v>
      </c>
      <c r="R37" t="s">
        <v>75</v>
      </c>
      <c r="S37">
        <v>5</v>
      </c>
      <c r="T37">
        <v>2</v>
      </c>
      <c r="U37">
        <v>3</v>
      </c>
      <c r="V37" t="s">
        <v>64</v>
      </c>
      <c r="W37">
        <v>3</v>
      </c>
      <c r="X37" t="s">
        <v>64</v>
      </c>
      <c r="Y37" t="s">
        <v>190</v>
      </c>
      <c r="Z37" t="s">
        <v>190</v>
      </c>
      <c r="AA37">
        <v>17.399999999999999</v>
      </c>
      <c r="AB37" t="s">
        <v>71</v>
      </c>
      <c r="AC37" t="s">
        <v>180</v>
      </c>
      <c r="AD37" t="s">
        <v>191</v>
      </c>
      <c r="AE37" t="s">
        <v>192</v>
      </c>
    </row>
    <row r="38" spans="1:31" x14ac:dyDescent="0.3">
      <c r="A38" t="s">
        <v>273</v>
      </c>
      <c r="B38" t="s">
        <v>274</v>
      </c>
      <c r="C38" t="s">
        <v>54</v>
      </c>
      <c r="D38" t="s">
        <v>158</v>
      </c>
      <c r="E38" t="s">
        <v>53</v>
      </c>
      <c r="F38" s="9">
        <v>45783</v>
      </c>
      <c r="G38" s="9">
        <v>45709</v>
      </c>
      <c r="H38" t="s">
        <v>70</v>
      </c>
      <c r="I38" t="s">
        <v>95</v>
      </c>
      <c r="J38" t="s">
        <v>85</v>
      </c>
      <c r="K38" t="s">
        <v>54</v>
      </c>
      <c r="L38" t="s">
        <v>81</v>
      </c>
      <c r="M38" t="s">
        <v>56</v>
      </c>
      <c r="N38">
        <v>4</v>
      </c>
      <c r="O38" t="s">
        <v>64</v>
      </c>
      <c r="P38" t="s">
        <v>64</v>
      </c>
      <c r="Q38" s="9"/>
      <c r="R38" t="s">
        <v>190</v>
      </c>
      <c r="V38" t="s">
        <v>190</v>
      </c>
      <c r="W38">
        <v>5</v>
      </c>
      <c r="X38" t="s">
        <v>54</v>
      </c>
      <c r="Y38" t="s">
        <v>58</v>
      </c>
      <c r="Z38" t="s">
        <v>190</v>
      </c>
      <c r="AA38">
        <v>13.4</v>
      </c>
      <c r="AB38" t="s">
        <v>71</v>
      </c>
      <c r="AC38" t="s">
        <v>180</v>
      </c>
      <c r="AD38" t="s">
        <v>192</v>
      </c>
      <c r="AE38" t="s">
        <v>222</v>
      </c>
    </row>
    <row r="39" spans="1:31" x14ac:dyDescent="0.3">
      <c r="A39" t="s">
        <v>275</v>
      </c>
      <c r="B39" t="s">
        <v>276</v>
      </c>
      <c r="C39" t="s">
        <v>54</v>
      </c>
      <c r="D39" t="s">
        <v>158</v>
      </c>
      <c r="E39" t="s">
        <v>63</v>
      </c>
      <c r="F39" s="9">
        <v>45912</v>
      </c>
      <c r="G39" s="9">
        <v>45763</v>
      </c>
      <c r="H39" t="s">
        <v>70</v>
      </c>
      <c r="I39" t="s">
        <v>91</v>
      </c>
      <c r="J39" t="s">
        <v>88</v>
      </c>
      <c r="K39" t="s">
        <v>54</v>
      </c>
      <c r="L39" t="s">
        <v>73</v>
      </c>
      <c r="M39" t="s">
        <v>66</v>
      </c>
      <c r="N39">
        <v>3</v>
      </c>
      <c r="O39" t="s">
        <v>64</v>
      </c>
      <c r="P39" t="s">
        <v>64</v>
      </c>
      <c r="Q39" s="9"/>
      <c r="R39" t="s">
        <v>190</v>
      </c>
      <c r="V39" t="s">
        <v>190</v>
      </c>
      <c r="W39">
        <v>3</v>
      </c>
      <c r="X39" t="s">
        <v>54</v>
      </c>
      <c r="Y39" t="s">
        <v>68</v>
      </c>
      <c r="Z39" t="s">
        <v>190</v>
      </c>
      <c r="AA39">
        <v>22.5</v>
      </c>
      <c r="AB39" t="s">
        <v>71</v>
      </c>
      <c r="AC39" t="s">
        <v>181</v>
      </c>
      <c r="AD39" t="s">
        <v>192</v>
      </c>
      <c r="AE39" t="s">
        <v>243</v>
      </c>
    </row>
    <row r="40" spans="1:31" x14ac:dyDescent="0.3">
      <c r="A40" t="s">
        <v>277</v>
      </c>
      <c r="B40" t="s">
        <v>278</v>
      </c>
      <c r="C40" t="s">
        <v>54</v>
      </c>
      <c r="D40" t="s">
        <v>158</v>
      </c>
      <c r="E40" t="s">
        <v>63</v>
      </c>
      <c r="F40" s="9">
        <v>45826</v>
      </c>
      <c r="G40" s="9">
        <v>45785</v>
      </c>
      <c r="H40" t="s">
        <v>78</v>
      </c>
      <c r="I40" t="s">
        <v>98</v>
      </c>
      <c r="J40" t="s">
        <v>92</v>
      </c>
      <c r="K40" t="s">
        <v>54</v>
      </c>
      <c r="L40" t="s">
        <v>73</v>
      </c>
      <c r="M40" t="s">
        <v>56</v>
      </c>
      <c r="N40">
        <v>6</v>
      </c>
      <c r="O40" t="s">
        <v>64</v>
      </c>
      <c r="P40" t="s">
        <v>54</v>
      </c>
      <c r="Q40" s="9">
        <v>45804</v>
      </c>
      <c r="R40" t="s">
        <v>83</v>
      </c>
      <c r="S40">
        <v>5</v>
      </c>
      <c r="T40">
        <v>2</v>
      </c>
      <c r="U40">
        <v>3</v>
      </c>
      <c r="V40" t="s">
        <v>64</v>
      </c>
      <c r="W40">
        <v>3</v>
      </c>
      <c r="X40" t="s">
        <v>64</v>
      </c>
      <c r="Y40" t="s">
        <v>190</v>
      </c>
      <c r="Z40" t="s">
        <v>190</v>
      </c>
      <c r="AA40">
        <v>14.5</v>
      </c>
      <c r="AB40" t="s">
        <v>79</v>
      </c>
      <c r="AC40" t="s">
        <v>181</v>
      </c>
      <c r="AD40" t="s">
        <v>196</v>
      </c>
      <c r="AE40" t="s">
        <v>192</v>
      </c>
    </row>
    <row r="41" spans="1:31" x14ac:dyDescent="0.3">
      <c r="A41" t="s">
        <v>279</v>
      </c>
      <c r="B41" t="s">
        <v>280</v>
      </c>
      <c r="C41" t="s">
        <v>54</v>
      </c>
      <c r="D41" t="s">
        <v>158</v>
      </c>
      <c r="E41" t="s">
        <v>53</v>
      </c>
      <c r="F41" s="9">
        <v>45761</v>
      </c>
      <c r="G41" s="9">
        <v>45684</v>
      </c>
      <c r="H41" t="s">
        <v>50</v>
      </c>
      <c r="I41" t="s">
        <v>72</v>
      </c>
      <c r="J41" t="s">
        <v>94</v>
      </c>
      <c r="K41" t="s">
        <v>54</v>
      </c>
      <c r="L41" t="s">
        <v>65</v>
      </c>
      <c r="M41" t="s">
        <v>66</v>
      </c>
      <c r="N41">
        <v>6</v>
      </c>
      <c r="O41" t="s">
        <v>64</v>
      </c>
      <c r="P41" t="s">
        <v>54</v>
      </c>
      <c r="Q41" s="9">
        <v>45686</v>
      </c>
      <c r="R41" t="s">
        <v>57</v>
      </c>
      <c r="S41">
        <v>4</v>
      </c>
      <c r="T41">
        <v>2</v>
      </c>
      <c r="U41">
        <v>2</v>
      </c>
      <c r="V41" t="s">
        <v>64</v>
      </c>
      <c r="W41">
        <v>2</v>
      </c>
      <c r="X41" t="s">
        <v>64</v>
      </c>
      <c r="Y41" t="s">
        <v>190</v>
      </c>
      <c r="Z41" t="s">
        <v>190</v>
      </c>
      <c r="AA41">
        <v>18.100000000000001</v>
      </c>
      <c r="AB41" t="s">
        <v>51</v>
      </c>
      <c r="AC41" t="s">
        <v>180</v>
      </c>
      <c r="AD41" t="s">
        <v>207</v>
      </c>
      <c r="AE41" t="s">
        <v>192</v>
      </c>
    </row>
    <row r="42" spans="1:31" x14ac:dyDescent="0.3">
      <c r="A42" t="s">
        <v>281</v>
      </c>
      <c r="B42" t="s">
        <v>282</v>
      </c>
      <c r="C42" t="s">
        <v>54</v>
      </c>
      <c r="D42" t="s">
        <v>158</v>
      </c>
      <c r="E42" t="s">
        <v>63</v>
      </c>
      <c r="F42" s="9">
        <v>45808</v>
      </c>
      <c r="G42" s="9">
        <v>45726</v>
      </c>
      <c r="H42" t="s">
        <v>78</v>
      </c>
      <c r="I42" t="s">
        <v>97</v>
      </c>
      <c r="J42" t="s">
        <v>59</v>
      </c>
      <c r="K42" t="s">
        <v>54</v>
      </c>
      <c r="L42" t="s">
        <v>65</v>
      </c>
      <c r="M42" t="s">
        <v>56</v>
      </c>
      <c r="N42">
        <v>4</v>
      </c>
      <c r="O42" t="s">
        <v>64</v>
      </c>
      <c r="P42" t="s">
        <v>54</v>
      </c>
      <c r="Q42" s="9">
        <v>45804</v>
      </c>
      <c r="R42" t="s">
        <v>57</v>
      </c>
      <c r="S42">
        <v>3</v>
      </c>
      <c r="T42">
        <v>4</v>
      </c>
      <c r="U42">
        <v>5</v>
      </c>
      <c r="V42" t="s">
        <v>54</v>
      </c>
      <c r="W42">
        <v>4</v>
      </c>
      <c r="X42" t="s">
        <v>54</v>
      </c>
      <c r="Y42" t="s">
        <v>76</v>
      </c>
      <c r="Z42" t="s">
        <v>190</v>
      </c>
      <c r="AA42">
        <v>15</v>
      </c>
      <c r="AB42" t="s">
        <v>79</v>
      </c>
      <c r="AC42" t="s">
        <v>181</v>
      </c>
      <c r="AD42" t="s">
        <v>207</v>
      </c>
      <c r="AE42" t="s">
        <v>237</v>
      </c>
    </row>
    <row r="43" spans="1:31" x14ac:dyDescent="0.3">
      <c r="A43" t="s">
        <v>283</v>
      </c>
      <c r="B43" t="s">
        <v>284</v>
      </c>
      <c r="C43" t="s">
        <v>54</v>
      </c>
      <c r="D43" t="s">
        <v>158</v>
      </c>
      <c r="E43" t="s">
        <v>63</v>
      </c>
      <c r="F43" s="9">
        <v>45817</v>
      </c>
      <c r="G43" s="9">
        <v>45762</v>
      </c>
      <c r="H43" t="s">
        <v>70</v>
      </c>
      <c r="I43" t="s">
        <v>93</v>
      </c>
      <c r="J43" t="s">
        <v>69</v>
      </c>
      <c r="K43" t="s">
        <v>54</v>
      </c>
      <c r="L43" t="s">
        <v>65</v>
      </c>
      <c r="M43" t="s">
        <v>56</v>
      </c>
      <c r="N43">
        <v>5</v>
      </c>
      <c r="O43" t="s">
        <v>64</v>
      </c>
      <c r="P43" t="s">
        <v>54</v>
      </c>
      <c r="Q43" s="9">
        <v>45794</v>
      </c>
      <c r="R43" t="s">
        <v>67</v>
      </c>
      <c r="S43">
        <v>3</v>
      </c>
      <c r="T43">
        <v>2</v>
      </c>
      <c r="U43">
        <v>3</v>
      </c>
      <c r="V43" t="s">
        <v>54</v>
      </c>
      <c r="W43">
        <v>1</v>
      </c>
      <c r="X43" t="s">
        <v>64</v>
      </c>
      <c r="Y43" t="s">
        <v>190</v>
      </c>
      <c r="Z43" t="s">
        <v>190</v>
      </c>
      <c r="AA43">
        <v>21.8</v>
      </c>
      <c r="AB43" t="s">
        <v>71</v>
      </c>
      <c r="AC43" t="s">
        <v>181</v>
      </c>
      <c r="AD43" t="s">
        <v>201</v>
      </c>
      <c r="AE43" t="s">
        <v>192</v>
      </c>
    </row>
    <row r="44" spans="1:31" x14ac:dyDescent="0.3">
      <c r="A44" t="s">
        <v>285</v>
      </c>
      <c r="B44" t="s">
        <v>286</v>
      </c>
      <c r="C44" t="s">
        <v>54</v>
      </c>
      <c r="D44" t="s">
        <v>158</v>
      </c>
      <c r="E44" t="s">
        <v>53</v>
      </c>
      <c r="F44" s="9">
        <v>45918</v>
      </c>
      <c r="G44" s="9">
        <v>45812</v>
      </c>
      <c r="H44" t="s">
        <v>60</v>
      </c>
      <c r="I44" t="s">
        <v>89</v>
      </c>
      <c r="J44" t="s">
        <v>59</v>
      </c>
      <c r="K44" t="s">
        <v>54</v>
      </c>
      <c r="L44" t="s">
        <v>65</v>
      </c>
      <c r="M44" t="s">
        <v>56</v>
      </c>
      <c r="N44">
        <v>2</v>
      </c>
      <c r="O44" t="s">
        <v>64</v>
      </c>
      <c r="P44" t="s">
        <v>54</v>
      </c>
      <c r="Q44" s="9">
        <v>45813</v>
      </c>
      <c r="R44" t="s">
        <v>83</v>
      </c>
      <c r="S44">
        <v>4</v>
      </c>
      <c r="T44">
        <v>2</v>
      </c>
      <c r="U44">
        <v>3</v>
      </c>
      <c r="V44" t="s">
        <v>54</v>
      </c>
      <c r="W44">
        <v>4</v>
      </c>
      <c r="X44" t="s">
        <v>54</v>
      </c>
      <c r="Y44" t="s">
        <v>68</v>
      </c>
      <c r="Z44" t="s">
        <v>190</v>
      </c>
      <c r="AA44">
        <v>18</v>
      </c>
      <c r="AB44" t="s">
        <v>61</v>
      </c>
      <c r="AC44" t="s">
        <v>180</v>
      </c>
      <c r="AD44" t="s">
        <v>196</v>
      </c>
      <c r="AE44" t="s">
        <v>243</v>
      </c>
    </row>
    <row r="45" spans="1:31" x14ac:dyDescent="0.3">
      <c r="A45" t="s">
        <v>287</v>
      </c>
      <c r="B45" t="s">
        <v>288</v>
      </c>
      <c r="C45" t="s">
        <v>54</v>
      </c>
      <c r="D45" t="s">
        <v>158</v>
      </c>
      <c r="E45" t="s">
        <v>63</v>
      </c>
      <c r="F45" s="9">
        <v>45855</v>
      </c>
      <c r="G45" s="9">
        <v>45787</v>
      </c>
      <c r="H45" t="s">
        <v>70</v>
      </c>
      <c r="I45" t="s">
        <v>91</v>
      </c>
      <c r="J45" t="s">
        <v>94</v>
      </c>
      <c r="K45" t="s">
        <v>54</v>
      </c>
      <c r="L45" t="s">
        <v>73</v>
      </c>
      <c r="M45" t="s">
        <v>66</v>
      </c>
      <c r="N45">
        <v>4</v>
      </c>
      <c r="O45" t="s">
        <v>64</v>
      </c>
      <c r="P45" t="s">
        <v>64</v>
      </c>
      <c r="Q45" s="9"/>
      <c r="R45" t="s">
        <v>190</v>
      </c>
      <c r="V45" t="s">
        <v>190</v>
      </c>
      <c r="W45">
        <v>5</v>
      </c>
      <c r="X45" t="s">
        <v>54</v>
      </c>
      <c r="Y45" t="s">
        <v>68</v>
      </c>
      <c r="Z45" t="s">
        <v>190</v>
      </c>
      <c r="AA45">
        <v>7.1</v>
      </c>
      <c r="AB45" t="s">
        <v>71</v>
      </c>
      <c r="AC45" t="s">
        <v>181</v>
      </c>
      <c r="AD45" t="s">
        <v>192</v>
      </c>
      <c r="AE45" t="s">
        <v>243</v>
      </c>
    </row>
    <row r="46" spans="1:31" x14ac:dyDescent="0.3">
      <c r="A46" t="s">
        <v>289</v>
      </c>
      <c r="B46" t="s">
        <v>290</v>
      </c>
      <c r="C46" t="s">
        <v>54</v>
      </c>
      <c r="D46" t="s">
        <v>158</v>
      </c>
      <c r="E46" t="s">
        <v>53</v>
      </c>
      <c r="F46" s="9">
        <v>45850</v>
      </c>
      <c r="G46" s="9">
        <v>45798</v>
      </c>
      <c r="H46" t="s">
        <v>78</v>
      </c>
      <c r="I46" t="s">
        <v>96</v>
      </c>
      <c r="J46" t="s">
        <v>85</v>
      </c>
      <c r="K46" t="s">
        <v>54</v>
      </c>
      <c r="L46" t="s">
        <v>81</v>
      </c>
      <c r="M46" t="s">
        <v>56</v>
      </c>
      <c r="N46">
        <v>3</v>
      </c>
      <c r="O46" t="s">
        <v>64</v>
      </c>
      <c r="P46" t="s">
        <v>54</v>
      </c>
      <c r="Q46" s="9">
        <v>45843</v>
      </c>
      <c r="R46" t="s">
        <v>67</v>
      </c>
      <c r="S46">
        <v>4</v>
      </c>
      <c r="T46">
        <v>4</v>
      </c>
      <c r="U46">
        <v>5</v>
      </c>
      <c r="V46" t="s">
        <v>54</v>
      </c>
      <c r="W46">
        <v>4</v>
      </c>
      <c r="X46" t="s">
        <v>64</v>
      </c>
      <c r="Y46" t="s">
        <v>190</v>
      </c>
      <c r="Z46" t="s">
        <v>190</v>
      </c>
      <c r="AA46">
        <v>32.5</v>
      </c>
      <c r="AB46" t="s">
        <v>79</v>
      </c>
      <c r="AC46" t="s">
        <v>180</v>
      </c>
      <c r="AD46" t="s">
        <v>201</v>
      </c>
      <c r="AE46" t="s">
        <v>192</v>
      </c>
    </row>
    <row r="47" spans="1:31" x14ac:dyDescent="0.3">
      <c r="A47" t="s">
        <v>291</v>
      </c>
      <c r="B47" t="s">
        <v>292</v>
      </c>
      <c r="C47" t="s">
        <v>54</v>
      </c>
      <c r="D47" t="s">
        <v>158</v>
      </c>
      <c r="E47" t="s">
        <v>53</v>
      </c>
      <c r="F47" s="9">
        <v>45892</v>
      </c>
      <c r="G47" s="9">
        <v>45751</v>
      </c>
      <c r="H47" t="s">
        <v>78</v>
      </c>
      <c r="I47" t="s">
        <v>98</v>
      </c>
      <c r="J47" t="s">
        <v>85</v>
      </c>
      <c r="K47" t="s">
        <v>54</v>
      </c>
      <c r="L47" t="s">
        <v>81</v>
      </c>
      <c r="M47" t="s">
        <v>56</v>
      </c>
      <c r="N47">
        <v>4</v>
      </c>
      <c r="O47" t="s">
        <v>64</v>
      </c>
      <c r="P47" t="s">
        <v>54</v>
      </c>
      <c r="Q47" s="9">
        <v>45885</v>
      </c>
      <c r="R47" t="s">
        <v>83</v>
      </c>
      <c r="S47">
        <v>5</v>
      </c>
      <c r="T47">
        <v>4</v>
      </c>
      <c r="U47">
        <v>5</v>
      </c>
      <c r="V47" t="s">
        <v>64</v>
      </c>
      <c r="W47">
        <v>3</v>
      </c>
      <c r="X47" t="s">
        <v>54</v>
      </c>
      <c r="Y47" t="s">
        <v>76</v>
      </c>
      <c r="Z47" t="s">
        <v>190</v>
      </c>
      <c r="AA47">
        <v>20.3</v>
      </c>
      <c r="AB47" t="s">
        <v>79</v>
      </c>
      <c r="AC47" t="s">
        <v>180</v>
      </c>
      <c r="AD47" t="s">
        <v>196</v>
      </c>
      <c r="AE47" t="s">
        <v>237</v>
      </c>
    </row>
    <row r="48" spans="1:31" x14ac:dyDescent="0.3">
      <c r="A48" t="s">
        <v>293</v>
      </c>
      <c r="B48" t="s">
        <v>294</v>
      </c>
      <c r="C48" t="s">
        <v>54</v>
      </c>
      <c r="D48" t="s">
        <v>158</v>
      </c>
      <c r="E48" t="s">
        <v>53</v>
      </c>
      <c r="F48" s="9">
        <v>45898</v>
      </c>
      <c r="G48" s="9">
        <v>45835</v>
      </c>
      <c r="H48" t="s">
        <v>78</v>
      </c>
      <c r="I48" t="s">
        <v>98</v>
      </c>
      <c r="J48" t="s">
        <v>88</v>
      </c>
      <c r="K48" t="s">
        <v>54</v>
      </c>
      <c r="L48" t="s">
        <v>55</v>
      </c>
      <c r="M48" t="s">
        <v>56</v>
      </c>
      <c r="N48">
        <v>3</v>
      </c>
      <c r="O48" t="s">
        <v>64</v>
      </c>
      <c r="P48" t="s">
        <v>54</v>
      </c>
      <c r="Q48" s="9">
        <v>45885</v>
      </c>
      <c r="R48" t="s">
        <v>57</v>
      </c>
      <c r="S48">
        <v>3</v>
      </c>
      <c r="T48">
        <v>2</v>
      </c>
      <c r="U48">
        <v>3</v>
      </c>
      <c r="V48" t="s">
        <v>64</v>
      </c>
      <c r="W48">
        <v>2</v>
      </c>
      <c r="X48" t="s">
        <v>64</v>
      </c>
      <c r="Y48" t="s">
        <v>190</v>
      </c>
      <c r="Z48" t="s">
        <v>190</v>
      </c>
      <c r="AA48">
        <v>19.399999999999999</v>
      </c>
      <c r="AB48" t="s">
        <v>79</v>
      </c>
      <c r="AC48" t="s">
        <v>180</v>
      </c>
      <c r="AD48" t="s">
        <v>207</v>
      </c>
      <c r="AE48" t="s">
        <v>192</v>
      </c>
    </row>
    <row r="49" spans="1:31" x14ac:dyDescent="0.3">
      <c r="A49" t="s">
        <v>295</v>
      </c>
      <c r="B49" t="s">
        <v>296</v>
      </c>
      <c r="C49" t="s">
        <v>54</v>
      </c>
      <c r="D49" t="s">
        <v>158</v>
      </c>
      <c r="E49" t="s">
        <v>53</v>
      </c>
      <c r="F49" s="9">
        <v>45884</v>
      </c>
      <c r="G49" s="9">
        <v>45775</v>
      </c>
      <c r="H49" t="s">
        <v>60</v>
      </c>
      <c r="I49" t="s">
        <v>80</v>
      </c>
      <c r="J49" t="s">
        <v>69</v>
      </c>
      <c r="K49" t="s">
        <v>54</v>
      </c>
      <c r="L49" t="s">
        <v>65</v>
      </c>
      <c r="M49" t="s">
        <v>56</v>
      </c>
      <c r="N49">
        <v>6</v>
      </c>
      <c r="O49" t="s">
        <v>54</v>
      </c>
      <c r="P49" t="s">
        <v>64</v>
      </c>
      <c r="Q49" s="9"/>
      <c r="R49" t="s">
        <v>190</v>
      </c>
      <c r="V49" t="s">
        <v>190</v>
      </c>
      <c r="W49">
        <v>4</v>
      </c>
      <c r="X49" t="s">
        <v>54</v>
      </c>
      <c r="Y49" t="s">
        <v>68</v>
      </c>
      <c r="Z49" t="s">
        <v>190</v>
      </c>
      <c r="AA49">
        <v>20.5</v>
      </c>
      <c r="AB49" t="s">
        <v>61</v>
      </c>
      <c r="AC49" t="s">
        <v>180</v>
      </c>
      <c r="AD49" t="s">
        <v>192</v>
      </c>
      <c r="AE49" t="s">
        <v>243</v>
      </c>
    </row>
    <row r="50" spans="1:31" x14ac:dyDescent="0.3">
      <c r="A50" t="s">
        <v>297</v>
      </c>
      <c r="B50" t="s">
        <v>298</v>
      </c>
      <c r="C50" t="s">
        <v>54</v>
      </c>
      <c r="D50" t="s">
        <v>158</v>
      </c>
      <c r="E50" t="s">
        <v>63</v>
      </c>
      <c r="F50" s="9">
        <v>45755</v>
      </c>
      <c r="G50" s="9">
        <v>45610</v>
      </c>
      <c r="H50" t="s">
        <v>78</v>
      </c>
      <c r="I50" t="s">
        <v>98</v>
      </c>
      <c r="J50" t="s">
        <v>92</v>
      </c>
      <c r="K50" t="s">
        <v>54</v>
      </c>
      <c r="L50" t="s">
        <v>65</v>
      </c>
      <c r="M50" t="s">
        <v>66</v>
      </c>
      <c r="N50">
        <v>10</v>
      </c>
      <c r="O50" t="s">
        <v>64</v>
      </c>
      <c r="P50" t="s">
        <v>64</v>
      </c>
      <c r="Q50" s="9"/>
      <c r="R50" t="s">
        <v>190</v>
      </c>
      <c r="V50" t="s">
        <v>190</v>
      </c>
      <c r="W50">
        <v>3</v>
      </c>
      <c r="X50" t="s">
        <v>64</v>
      </c>
      <c r="Y50" t="s">
        <v>190</v>
      </c>
      <c r="Z50" t="s">
        <v>190</v>
      </c>
      <c r="AA50">
        <v>25.7</v>
      </c>
      <c r="AB50" t="s">
        <v>79</v>
      </c>
      <c r="AC50" t="s">
        <v>181</v>
      </c>
      <c r="AD50" t="s">
        <v>192</v>
      </c>
      <c r="AE50" t="s">
        <v>192</v>
      </c>
    </row>
    <row r="51" spans="1:31" x14ac:dyDescent="0.3">
      <c r="A51" t="s">
        <v>299</v>
      </c>
      <c r="B51" t="s">
        <v>300</v>
      </c>
      <c r="C51" t="s">
        <v>54</v>
      </c>
      <c r="D51" t="s">
        <v>158</v>
      </c>
      <c r="E51" t="s">
        <v>63</v>
      </c>
      <c r="F51" s="9">
        <v>45851</v>
      </c>
      <c r="G51" s="9">
        <v>45818</v>
      </c>
      <c r="H51" t="s">
        <v>50</v>
      </c>
      <c r="I51" t="s">
        <v>52</v>
      </c>
      <c r="J51" t="s">
        <v>69</v>
      </c>
      <c r="K51" t="s">
        <v>54</v>
      </c>
      <c r="L51" t="s">
        <v>73</v>
      </c>
      <c r="M51" t="s">
        <v>56</v>
      </c>
      <c r="N51">
        <v>12</v>
      </c>
      <c r="O51" t="s">
        <v>64</v>
      </c>
      <c r="P51" t="s">
        <v>54</v>
      </c>
      <c r="Q51" s="9">
        <v>45830</v>
      </c>
      <c r="R51" t="s">
        <v>75</v>
      </c>
      <c r="S51">
        <v>4</v>
      </c>
      <c r="T51">
        <v>1</v>
      </c>
      <c r="U51">
        <v>2</v>
      </c>
      <c r="V51" t="s">
        <v>54</v>
      </c>
      <c r="W51">
        <v>4</v>
      </c>
      <c r="X51" t="s">
        <v>54</v>
      </c>
      <c r="Y51" t="s">
        <v>58</v>
      </c>
      <c r="Z51" t="s">
        <v>190</v>
      </c>
      <c r="AA51">
        <v>20</v>
      </c>
      <c r="AB51" t="s">
        <v>51</v>
      </c>
      <c r="AC51" t="s">
        <v>181</v>
      </c>
      <c r="AD51" t="s">
        <v>191</v>
      </c>
      <c r="AE51" t="s">
        <v>222</v>
      </c>
    </row>
    <row r="52" spans="1:31" x14ac:dyDescent="0.3">
      <c r="A52" t="s">
        <v>301</v>
      </c>
      <c r="B52" t="s">
        <v>302</v>
      </c>
      <c r="C52" t="s">
        <v>54</v>
      </c>
      <c r="D52" t="s">
        <v>158</v>
      </c>
      <c r="E52" t="s">
        <v>190</v>
      </c>
      <c r="F52" s="9"/>
      <c r="G52" s="9"/>
      <c r="H52" t="s">
        <v>190</v>
      </c>
      <c r="I52" t="s">
        <v>190</v>
      </c>
      <c r="J52" t="s">
        <v>190</v>
      </c>
      <c r="K52" t="s">
        <v>64</v>
      </c>
      <c r="L52" t="s">
        <v>190</v>
      </c>
      <c r="M52" t="s">
        <v>190</v>
      </c>
      <c r="O52" t="s">
        <v>190</v>
      </c>
      <c r="P52" t="s">
        <v>190</v>
      </c>
      <c r="Q52" s="9"/>
      <c r="R52" t="s">
        <v>190</v>
      </c>
      <c r="V52" t="s">
        <v>190</v>
      </c>
      <c r="X52" t="s">
        <v>190</v>
      </c>
      <c r="Y52" t="s">
        <v>190</v>
      </c>
      <c r="Z52" t="s">
        <v>190</v>
      </c>
      <c r="AB52" t="s">
        <v>192</v>
      </c>
      <c r="AC52" t="s">
        <v>192</v>
      </c>
      <c r="AD52" t="s">
        <v>192</v>
      </c>
      <c r="AE52" t="s">
        <v>192</v>
      </c>
    </row>
    <row r="53" spans="1:31" x14ac:dyDescent="0.3">
      <c r="A53" t="s">
        <v>303</v>
      </c>
      <c r="B53" t="s">
        <v>304</v>
      </c>
      <c r="C53" t="s">
        <v>54</v>
      </c>
      <c r="D53" t="s">
        <v>158</v>
      </c>
      <c r="E53" t="s">
        <v>53</v>
      </c>
      <c r="F53" s="9">
        <v>45770</v>
      </c>
      <c r="G53" s="9">
        <v>45716</v>
      </c>
      <c r="H53" t="s">
        <v>60</v>
      </c>
      <c r="I53" t="s">
        <v>80</v>
      </c>
      <c r="J53" t="s">
        <v>90</v>
      </c>
      <c r="K53" t="s">
        <v>54</v>
      </c>
      <c r="L53" t="s">
        <v>73</v>
      </c>
      <c r="M53" t="s">
        <v>66</v>
      </c>
      <c r="N53">
        <v>6</v>
      </c>
      <c r="O53" t="s">
        <v>64</v>
      </c>
      <c r="P53" t="s">
        <v>54</v>
      </c>
      <c r="Q53" s="9">
        <v>45755</v>
      </c>
      <c r="R53" t="s">
        <v>83</v>
      </c>
      <c r="S53">
        <v>4</v>
      </c>
      <c r="T53">
        <v>3</v>
      </c>
      <c r="U53">
        <v>4</v>
      </c>
      <c r="V53" t="s">
        <v>64</v>
      </c>
      <c r="W53">
        <v>4</v>
      </c>
      <c r="X53" t="s">
        <v>64</v>
      </c>
      <c r="Y53" t="s">
        <v>190</v>
      </c>
      <c r="Z53" t="s">
        <v>305</v>
      </c>
      <c r="AA53">
        <v>10.5</v>
      </c>
      <c r="AB53" t="s">
        <v>61</v>
      </c>
      <c r="AC53" t="s">
        <v>180</v>
      </c>
      <c r="AD53" t="s">
        <v>196</v>
      </c>
      <c r="AE53" t="s">
        <v>192</v>
      </c>
    </row>
    <row r="54" spans="1:31" x14ac:dyDescent="0.3">
      <c r="A54" t="s">
        <v>306</v>
      </c>
      <c r="B54" t="s">
        <v>307</v>
      </c>
      <c r="C54" t="s">
        <v>54</v>
      </c>
      <c r="D54" t="s">
        <v>158</v>
      </c>
      <c r="E54" t="s">
        <v>53</v>
      </c>
      <c r="F54" s="9">
        <v>45811</v>
      </c>
      <c r="G54" s="9">
        <v>45710</v>
      </c>
      <c r="H54" t="s">
        <v>50</v>
      </c>
      <c r="I54" t="s">
        <v>62</v>
      </c>
      <c r="J54" t="s">
        <v>94</v>
      </c>
      <c r="K54" t="s">
        <v>54</v>
      </c>
      <c r="L54" t="s">
        <v>55</v>
      </c>
      <c r="M54" t="s">
        <v>66</v>
      </c>
      <c r="N54">
        <v>4</v>
      </c>
      <c r="O54" t="s">
        <v>54</v>
      </c>
      <c r="P54" t="s">
        <v>54</v>
      </c>
      <c r="Q54" s="9">
        <v>45768</v>
      </c>
      <c r="R54" t="s">
        <v>67</v>
      </c>
      <c r="S54">
        <v>5</v>
      </c>
      <c r="T54">
        <v>2</v>
      </c>
      <c r="U54">
        <v>4</v>
      </c>
      <c r="V54" t="s">
        <v>54</v>
      </c>
      <c r="W54">
        <v>3</v>
      </c>
      <c r="X54" t="s">
        <v>64</v>
      </c>
      <c r="Y54" t="s">
        <v>190</v>
      </c>
      <c r="Z54" t="s">
        <v>190</v>
      </c>
      <c r="AA54">
        <v>12.7</v>
      </c>
      <c r="AB54" t="s">
        <v>51</v>
      </c>
      <c r="AC54" t="s">
        <v>180</v>
      </c>
      <c r="AD54" t="s">
        <v>201</v>
      </c>
      <c r="AE54" t="s">
        <v>192</v>
      </c>
    </row>
    <row r="55" spans="1:31" x14ac:dyDescent="0.3">
      <c r="A55" t="s">
        <v>308</v>
      </c>
      <c r="B55" t="s">
        <v>309</v>
      </c>
      <c r="C55" t="s">
        <v>54</v>
      </c>
      <c r="D55" t="s">
        <v>158</v>
      </c>
      <c r="E55" t="s">
        <v>63</v>
      </c>
      <c r="F55" s="9">
        <v>45798</v>
      </c>
      <c r="G55" s="9">
        <v>45752</v>
      </c>
      <c r="H55" t="s">
        <v>78</v>
      </c>
      <c r="I55" t="s">
        <v>97</v>
      </c>
      <c r="J55" t="s">
        <v>59</v>
      </c>
      <c r="K55" t="s">
        <v>54</v>
      </c>
      <c r="L55" t="s">
        <v>55</v>
      </c>
      <c r="M55" t="s">
        <v>66</v>
      </c>
      <c r="N55">
        <v>4</v>
      </c>
      <c r="O55" t="s">
        <v>64</v>
      </c>
      <c r="P55" t="s">
        <v>54</v>
      </c>
      <c r="Q55" s="9">
        <v>45793</v>
      </c>
      <c r="R55" t="s">
        <v>67</v>
      </c>
      <c r="S55">
        <v>4</v>
      </c>
      <c r="T55">
        <v>1</v>
      </c>
      <c r="U55">
        <v>1</v>
      </c>
      <c r="V55" t="s">
        <v>54</v>
      </c>
      <c r="W55">
        <v>4</v>
      </c>
      <c r="X55" t="s">
        <v>64</v>
      </c>
      <c r="Y55" t="s">
        <v>190</v>
      </c>
      <c r="Z55" t="s">
        <v>190</v>
      </c>
      <c r="AA55">
        <v>10.9</v>
      </c>
      <c r="AB55" t="s">
        <v>79</v>
      </c>
      <c r="AC55" t="s">
        <v>181</v>
      </c>
      <c r="AD55" t="s">
        <v>201</v>
      </c>
      <c r="AE55" t="s">
        <v>192</v>
      </c>
    </row>
    <row r="56" spans="1:31" x14ac:dyDescent="0.3">
      <c r="A56" t="s">
        <v>310</v>
      </c>
      <c r="B56" t="s">
        <v>311</v>
      </c>
      <c r="C56" t="s">
        <v>54</v>
      </c>
      <c r="D56" t="s">
        <v>158</v>
      </c>
      <c r="E56" t="s">
        <v>63</v>
      </c>
      <c r="F56" s="9">
        <v>45780</v>
      </c>
      <c r="G56" s="9">
        <v>45651</v>
      </c>
      <c r="H56" t="s">
        <v>70</v>
      </c>
      <c r="I56" t="s">
        <v>91</v>
      </c>
      <c r="J56" t="s">
        <v>85</v>
      </c>
      <c r="K56" t="s">
        <v>54</v>
      </c>
      <c r="L56" t="s">
        <v>65</v>
      </c>
      <c r="M56" t="s">
        <v>56</v>
      </c>
      <c r="N56">
        <v>1</v>
      </c>
      <c r="O56" t="s">
        <v>64</v>
      </c>
      <c r="P56" t="s">
        <v>54</v>
      </c>
      <c r="Q56" s="9">
        <v>45739</v>
      </c>
      <c r="R56" t="s">
        <v>83</v>
      </c>
      <c r="S56">
        <v>4</v>
      </c>
      <c r="T56">
        <v>2</v>
      </c>
      <c r="U56">
        <v>3</v>
      </c>
      <c r="V56" t="s">
        <v>64</v>
      </c>
      <c r="W56">
        <v>3</v>
      </c>
      <c r="X56" t="s">
        <v>54</v>
      </c>
      <c r="Y56" t="s">
        <v>58</v>
      </c>
      <c r="Z56" t="s">
        <v>190</v>
      </c>
      <c r="AA56">
        <v>26.4</v>
      </c>
      <c r="AB56" t="s">
        <v>71</v>
      </c>
      <c r="AC56" t="s">
        <v>181</v>
      </c>
      <c r="AD56" t="s">
        <v>196</v>
      </c>
      <c r="AE56" t="s">
        <v>222</v>
      </c>
    </row>
    <row r="57" spans="1:31" x14ac:dyDescent="0.3">
      <c r="A57" t="s">
        <v>312</v>
      </c>
      <c r="B57" t="s">
        <v>313</v>
      </c>
      <c r="C57" t="s">
        <v>54</v>
      </c>
      <c r="D57" t="s">
        <v>158</v>
      </c>
      <c r="E57" t="s">
        <v>53</v>
      </c>
      <c r="F57" s="9">
        <v>45794</v>
      </c>
      <c r="G57" s="9">
        <v>45694</v>
      </c>
      <c r="H57" t="s">
        <v>70</v>
      </c>
      <c r="I57" t="s">
        <v>91</v>
      </c>
      <c r="J57" t="s">
        <v>59</v>
      </c>
      <c r="K57" t="s">
        <v>54</v>
      </c>
      <c r="L57" t="s">
        <v>73</v>
      </c>
      <c r="M57" t="s">
        <v>66</v>
      </c>
      <c r="N57">
        <v>5</v>
      </c>
      <c r="O57" t="s">
        <v>54</v>
      </c>
      <c r="P57" t="s">
        <v>54</v>
      </c>
      <c r="Q57" s="9">
        <v>45694</v>
      </c>
      <c r="R57" t="s">
        <v>57</v>
      </c>
      <c r="S57">
        <v>4</v>
      </c>
      <c r="T57">
        <v>2</v>
      </c>
      <c r="U57">
        <v>2</v>
      </c>
      <c r="V57" t="s">
        <v>54</v>
      </c>
      <c r="W57">
        <v>4</v>
      </c>
      <c r="X57" t="s">
        <v>54</v>
      </c>
      <c r="Y57" t="s">
        <v>58</v>
      </c>
      <c r="Z57" t="s">
        <v>190</v>
      </c>
      <c r="AA57">
        <v>24</v>
      </c>
      <c r="AB57" t="s">
        <v>71</v>
      </c>
      <c r="AC57" t="s">
        <v>180</v>
      </c>
      <c r="AD57" t="s">
        <v>207</v>
      </c>
      <c r="AE57" t="s">
        <v>222</v>
      </c>
    </row>
    <row r="58" spans="1:31" x14ac:dyDescent="0.3">
      <c r="A58" t="s">
        <v>314</v>
      </c>
      <c r="B58" t="s">
        <v>315</v>
      </c>
      <c r="C58" t="s">
        <v>54</v>
      </c>
      <c r="D58" t="s">
        <v>158</v>
      </c>
      <c r="E58" t="s">
        <v>53</v>
      </c>
      <c r="F58" s="9">
        <v>45840</v>
      </c>
      <c r="G58" s="9">
        <v>45778</v>
      </c>
      <c r="H58" t="s">
        <v>78</v>
      </c>
      <c r="I58" t="s">
        <v>96</v>
      </c>
      <c r="J58" t="s">
        <v>85</v>
      </c>
      <c r="K58" t="s">
        <v>54</v>
      </c>
      <c r="L58" t="s">
        <v>65</v>
      </c>
      <c r="M58" t="s">
        <v>66</v>
      </c>
      <c r="N58">
        <v>7</v>
      </c>
      <c r="O58" t="s">
        <v>64</v>
      </c>
      <c r="P58" t="s">
        <v>54</v>
      </c>
      <c r="Q58" s="9">
        <v>45782</v>
      </c>
      <c r="R58" t="s">
        <v>67</v>
      </c>
      <c r="S58">
        <v>1</v>
      </c>
      <c r="T58">
        <v>2</v>
      </c>
      <c r="U58">
        <v>3</v>
      </c>
      <c r="V58" t="s">
        <v>54</v>
      </c>
      <c r="W58">
        <v>2</v>
      </c>
      <c r="X58" t="s">
        <v>64</v>
      </c>
      <c r="Y58" t="s">
        <v>190</v>
      </c>
      <c r="Z58" t="s">
        <v>190</v>
      </c>
      <c r="AA58">
        <v>17.5</v>
      </c>
      <c r="AB58" t="s">
        <v>79</v>
      </c>
      <c r="AC58" t="s">
        <v>180</v>
      </c>
      <c r="AD58" t="s">
        <v>201</v>
      </c>
      <c r="AE58" t="s">
        <v>192</v>
      </c>
    </row>
    <row r="59" spans="1:31" x14ac:dyDescent="0.3">
      <c r="A59" t="s">
        <v>316</v>
      </c>
      <c r="B59" t="s">
        <v>317</v>
      </c>
      <c r="C59" t="s">
        <v>54</v>
      </c>
      <c r="D59" t="s">
        <v>158</v>
      </c>
      <c r="E59" t="s">
        <v>63</v>
      </c>
      <c r="F59" s="9">
        <v>45914</v>
      </c>
      <c r="G59" s="9">
        <v>45786</v>
      </c>
      <c r="H59" t="s">
        <v>60</v>
      </c>
      <c r="I59" t="s">
        <v>89</v>
      </c>
      <c r="J59" t="s">
        <v>59</v>
      </c>
      <c r="K59" t="s">
        <v>54</v>
      </c>
      <c r="L59" t="s">
        <v>87</v>
      </c>
      <c r="M59" t="s">
        <v>56</v>
      </c>
      <c r="N59">
        <v>6</v>
      </c>
      <c r="O59" t="s">
        <v>64</v>
      </c>
      <c r="P59" t="s">
        <v>54</v>
      </c>
      <c r="Q59" s="9">
        <v>45908</v>
      </c>
      <c r="R59" t="s">
        <v>57</v>
      </c>
      <c r="S59">
        <v>4</v>
      </c>
      <c r="T59">
        <v>4</v>
      </c>
      <c r="U59">
        <v>5</v>
      </c>
      <c r="V59" t="s">
        <v>64</v>
      </c>
      <c r="W59">
        <v>4</v>
      </c>
      <c r="X59" t="s">
        <v>64</v>
      </c>
      <c r="Y59" t="s">
        <v>190</v>
      </c>
      <c r="Z59" t="s">
        <v>190</v>
      </c>
      <c r="AA59">
        <v>17.899999999999999</v>
      </c>
      <c r="AB59" t="s">
        <v>61</v>
      </c>
      <c r="AC59" t="s">
        <v>181</v>
      </c>
      <c r="AD59" t="s">
        <v>207</v>
      </c>
      <c r="AE59" t="s">
        <v>192</v>
      </c>
    </row>
    <row r="60" spans="1:31" x14ac:dyDescent="0.3">
      <c r="A60" t="s">
        <v>318</v>
      </c>
      <c r="B60" t="s">
        <v>319</v>
      </c>
      <c r="C60" t="s">
        <v>54</v>
      </c>
      <c r="D60" t="s">
        <v>158</v>
      </c>
      <c r="E60" t="s">
        <v>53</v>
      </c>
      <c r="F60" s="9">
        <v>45849</v>
      </c>
      <c r="G60" s="9">
        <v>45787</v>
      </c>
      <c r="H60" t="s">
        <v>70</v>
      </c>
      <c r="I60" t="s">
        <v>95</v>
      </c>
      <c r="J60" t="s">
        <v>94</v>
      </c>
      <c r="K60" t="s">
        <v>54</v>
      </c>
      <c r="L60" t="s">
        <v>65</v>
      </c>
      <c r="M60" t="s">
        <v>56</v>
      </c>
      <c r="N60">
        <v>0</v>
      </c>
      <c r="O60" t="s">
        <v>64</v>
      </c>
      <c r="P60" t="s">
        <v>54</v>
      </c>
      <c r="Q60" s="9">
        <v>45808</v>
      </c>
      <c r="R60" t="s">
        <v>57</v>
      </c>
      <c r="S60">
        <v>4</v>
      </c>
      <c r="T60">
        <v>4</v>
      </c>
      <c r="U60">
        <v>5</v>
      </c>
      <c r="V60" t="s">
        <v>54</v>
      </c>
      <c r="W60">
        <v>3</v>
      </c>
      <c r="X60" t="s">
        <v>64</v>
      </c>
      <c r="Y60" t="s">
        <v>190</v>
      </c>
      <c r="Z60" t="s">
        <v>190</v>
      </c>
      <c r="AA60">
        <v>18.100000000000001</v>
      </c>
      <c r="AB60" t="s">
        <v>71</v>
      </c>
      <c r="AC60" t="s">
        <v>180</v>
      </c>
      <c r="AD60" t="s">
        <v>207</v>
      </c>
      <c r="AE60" t="s">
        <v>192</v>
      </c>
    </row>
    <row r="61" spans="1:31" x14ac:dyDescent="0.3">
      <c r="A61" t="s">
        <v>320</v>
      </c>
      <c r="B61" t="s">
        <v>321</v>
      </c>
      <c r="C61" t="s">
        <v>54</v>
      </c>
      <c r="D61" t="s">
        <v>158</v>
      </c>
      <c r="E61" t="s">
        <v>53</v>
      </c>
      <c r="F61" s="9">
        <v>45792</v>
      </c>
      <c r="G61" s="9">
        <v>45668</v>
      </c>
      <c r="H61" t="s">
        <v>60</v>
      </c>
      <c r="I61" t="s">
        <v>80</v>
      </c>
      <c r="J61" t="s">
        <v>77</v>
      </c>
      <c r="K61" t="s">
        <v>54</v>
      </c>
      <c r="L61" t="s">
        <v>87</v>
      </c>
      <c r="M61" t="s">
        <v>56</v>
      </c>
      <c r="N61">
        <v>5</v>
      </c>
      <c r="O61" t="s">
        <v>64</v>
      </c>
      <c r="P61" t="s">
        <v>54</v>
      </c>
      <c r="Q61" s="9">
        <v>45716</v>
      </c>
      <c r="R61" t="s">
        <v>57</v>
      </c>
      <c r="S61">
        <v>5</v>
      </c>
      <c r="T61">
        <v>2</v>
      </c>
      <c r="U61">
        <v>3</v>
      </c>
      <c r="V61" t="s">
        <v>54</v>
      </c>
      <c r="W61">
        <v>4</v>
      </c>
      <c r="X61" t="s">
        <v>64</v>
      </c>
      <c r="Y61" t="s">
        <v>190</v>
      </c>
      <c r="Z61" t="s">
        <v>322</v>
      </c>
      <c r="AA61">
        <v>19.100000000000001</v>
      </c>
      <c r="AB61" t="s">
        <v>61</v>
      </c>
      <c r="AC61" t="s">
        <v>180</v>
      </c>
      <c r="AD61" t="s">
        <v>207</v>
      </c>
      <c r="AE61" t="s">
        <v>192</v>
      </c>
    </row>
    <row r="62" spans="1:31" x14ac:dyDescent="0.3">
      <c r="A62" t="s">
        <v>323</v>
      </c>
      <c r="B62" t="s">
        <v>324</v>
      </c>
      <c r="C62" t="s">
        <v>54</v>
      </c>
      <c r="D62" t="s">
        <v>158</v>
      </c>
      <c r="E62" t="s">
        <v>63</v>
      </c>
      <c r="F62" s="9">
        <v>45789</v>
      </c>
      <c r="G62" s="9">
        <v>45714</v>
      </c>
      <c r="H62" t="s">
        <v>78</v>
      </c>
      <c r="I62" t="s">
        <v>96</v>
      </c>
      <c r="J62" t="s">
        <v>92</v>
      </c>
      <c r="K62" t="s">
        <v>54</v>
      </c>
      <c r="L62" t="s">
        <v>65</v>
      </c>
      <c r="M62" t="s">
        <v>56</v>
      </c>
      <c r="N62">
        <v>5</v>
      </c>
      <c r="O62" t="s">
        <v>64</v>
      </c>
      <c r="P62" t="s">
        <v>54</v>
      </c>
      <c r="Q62" s="9">
        <v>45738</v>
      </c>
      <c r="R62" t="s">
        <v>83</v>
      </c>
      <c r="S62">
        <v>5</v>
      </c>
      <c r="T62">
        <v>1</v>
      </c>
      <c r="U62">
        <v>1</v>
      </c>
      <c r="V62" t="s">
        <v>64</v>
      </c>
      <c r="W62">
        <v>3</v>
      </c>
      <c r="X62" t="s">
        <v>54</v>
      </c>
      <c r="Y62" t="s">
        <v>76</v>
      </c>
      <c r="Z62" t="s">
        <v>190</v>
      </c>
      <c r="AA62">
        <v>25</v>
      </c>
      <c r="AB62" t="s">
        <v>79</v>
      </c>
      <c r="AC62" t="s">
        <v>181</v>
      </c>
      <c r="AD62" t="s">
        <v>196</v>
      </c>
      <c r="AE62" t="s">
        <v>237</v>
      </c>
    </row>
    <row r="63" spans="1:31" x14ac:dyDescent="0.3">
      <c r="A63" t="s">
        <v>325</v>
      </c>
      <c r="B63" t="s">
        <v>326</v>
      </c>
      <c r="C63" t="s">
        <v>54</v>
      </c>
      <c r="D63" t="s">
        <v>158</v>
      </c>
      <c r="E63" t="s">
        <v>53</v>
      </c>
      <c r="F63" s="9">
        <v>45822</v>
      </c>
      <c r="G63" s="9">
        <v>45677</v>
      </c>
      <c r="H63" t="s">
        <v>78</v>
      </c>
      <c r="I63" t="s">
        <v>98</v>
      </c>
      <c r="J63" t="s">
        <v>92</v>
      </c>
      <c r="K63" t="s">
        <v>54</v>
      </c>
      <c r="L63" t="s">
        <v>55</v>
      </c>
      <c r="M63" t="s">
        <v>56</v>
      </c>
      <c r="N63">
        <v>2</v>
      </c>
      <c r="O63" t="s">
        <v>64</v>
      </c>
      <c r="P63" t="s">
        <v>54</v>
      </c>
      <c r="Q63" s="9">
        <v>45711</v>
      </c>
      <c r="R63" t="s">
        <v>75</v>
      </c>
      <c r="S63">
        <v>4</v>
      </c>
      <c r="T63">
        <v>3</v>
      </c>
      <c r="U63">
        <v>5</v>
      </c>
      <c r="V63" t="s">
        <v>54</v>
      </c>
      <c r="W63">
        <v>3</v>
      </c>
      <c r="X63" t="s">
        <v>64</v>
      </c>
      <c r="Y63" t="s">
        <v>190</v>
      </c>
      <c r="Z63" t="s">
        <v>327</v>
      </c>
      <c r="AA63">
        <v>23.3</v>
      </c>
      <c r="AB63" t="s">
        <v>79</v>
      </c>
      <c r="AC63" t="s">
        <v>180</v>
      </c>
      <c r="AD63" t="s">
        <v>191</v>
      </c>
      <c r="AE63" t="s">
        <v>192</v>
      </c>
    </row>
    <row r="64" spans="1:31" x14ac:dyDescent="0.3">
      <c r="A64" t="s">
        <v>328</v>
      </c>
      <c r="B64" t="s">
        <v>329</v>
      </c>
      <c r="C64" t="s">
        <v>54</v>
      </c>
      <c r="D64" t="s">
        <v>158</v>
      </c>
      <c r="E64" t="s">
        <v>53</v>
      </c>
      <c r="F64" s="9">
        <v>45833</v>
      </c>
      <c r="G64" s="9">
        <v>45709</v>
      </c>
      <c r="H64" t="s">
        <v>60</v>
      </c>
      <c r="I64" t="s">
        <v>89</v>
      </c>
      <c r="J64" t="s">
        <v>88</v>
      </c>
      <c r="K64" t="s">
        <v>54</v>
      </c>
      <c r="L64" t="s">
        <v>81</v>
      </c>
      <c r="M64" t="s">
        <v>56</v>
      </c>
      <c r="N64">
        <v>6</v>
      </c>
      <c r="O64" t="s">
        <v>64</v>
      </c>
      <c r="P64" t="s">
        <v>54</v>
      </c>
      <c r="Q64" s="9">
        <v>45809</v>
      </c>
      <c r="R64" t="s">
        <v>67</v>
      </c>
      <c r="S64">
        <v>4</v>
      </c>
      <c r="T64">
        <v>2</v>
      </c>
      <c r="U64">
        <v>3</v>
      </c>
      <c r="V64" t="s">
        <v>64</v>
      </c>
      <c r="W64">
        <v>5</v>
      </c>
      <c r="X64" t="s">
        <v>64</v>
      </c>
      <c r="Y64" t="s">
        <v>190</v>
      </c>
      <c r="Z64" t="s">
        <v>190</v>
      </c>
      <c r="AA64">
        <v>30.1</v>
      </c>
      <c r="AB64" t="s">
        <v>61</v>
      </c>
      <c r="AC64" t="s">
        <v>180</v>
      </c>
      <c r="AD64" t="s">
        <v>201</v>
      </c>
      <c r="AE64" t="s">
        <v>192</v>
      </c>
    </row>
    <row r="65" spans="1:31" x14ac:dyDescent="0.3">
      <c r="A65" t="s">
        <v>330</v>
      </c>
      <c r="B65" t="s">
        <v>331</v>
      </c>
      <c r="C65" t="s">
        <v>54</v>
      </c>
      <c r="D65" t="s">
        <v>158</v>
      </c>
      <c r="E65" t="s">
        <v>63</v>
      </c>
      <c r="F65" s="9">
        <v>45854</v>
      </c>
      <c r="G65" s="9">
        <v>45808</v>
      </c>
      <c r="H65" t="s">
        <v>70</v>
      </c>
      <c r="I65" t="s">
        <v>93</v>
      </c>
      <c r="J65" t="s">
        <v>92</v>
      </c>
      <c r="K65" t="s">
        <v>54</v>
      </c>
      <c r="L65" t="s">
        <v>87</v>
      </c>
      <c r="M65" t="s">
        <v>56</v>
      </c>
      <c r="N65">
        <v>6</v>
      </c>
      <c r="O65" t="s">
        <v>64</v>
      </c>
      <c r="P65" t="s">
        <v>54</v>
      </c>
      <c r="Q65" s="9">
        <v>45833</v>
      </c>
      <c r="R65" t="s">
        <v>83</v>
      </c>
      <c r="S65">
        <v>5</v>
      </c>
      <c r="T65">
        <v>1</v>
      </c>
      <c r="U65">
        <v>1</v>
      </c>
      <c r="V65" t="s">
        <v>54</v>
      </c>
      <c r="W65">
        <v>4</v>
      </c>
      <c r="X65" t="s">
        <v>64</v>
      </c>
      <c r="Y65" t="s">
        <v>190</v>
      </c>
      <c r="Z65" t="s">
        <v>190</v>
      </c>
      <c r="AA65">
        <v>18.899999999999999</v>
      </c>
      <c r="AB65" t="s">
        <v>71</v>
      </c>
      <c r="AC65" t="s">
        <v>181</v>
      </c>
      <c r="AD65" t="s">
        <v>196</v>
      </c>
      <c r="AE65" t="s">
        <v>192</v>
      </c>
    </row>
    <row r="66" spans="1:31" x14ac:dyDescent="0.3">
      <c r="A66" t="s">
        <v>332</v>
      </c>
      <c r="B66" t="s">
        <v>333</v>
      </c>
      <c r="C66" t="s">
        <v>54</v>
      </c>
      <c r="D66" t="s">
        <v>158</v>
      </c>
      <c r="E66" t="s">
        <v>63</v>
      </c>
      <c r="F66" s="9">
        <v>45867</v>
      </c>
      <c r="G66" s="9">
        <v>45739</v>
      </c>
      <c r="H66" t="s">
        <v>70</v>
      </c>
      <c r="I66" t="s">
        <v>95</v>
      </c>
      <c r="J66" t="s">
        <v>85</v>
      </c>
      <c r="K66" t="s">
        <v>54</v>
      </c>
      <c r="L66" t="s">
        <v>81</v>
      </c>
      <c r="M66" t="s">
        <v>66</v>
      </c>
      <c r="N66">
        <v>5</v>
      </c>
      <c r="O66" t="s">
        <v>64</v>
      </c>
      <c r="P66" t="s">
        <v>54</v>
      </c>
      <c r="Q66" s="9">
        <v>45755</v>
      </c>
      <c r="R66" t="s">
        <v>75</v>
      </c>
      <c r="S66">
        <v>5</v>
      </c>
      <c r="T66">
        <v>1</v>
      </c>
      <c r="U66">
        <v>3</v>
      </c>
      <c r="V66" t="s">
        <v>54</v>
      </c>
      <c r="W66">
        <v>2</v>
      </c>
      <c r="X66" t="s">
        <v>64</v>
      </c>
      <c r="Y66" t="s">
        <v>190</v>
      </c>
      <c r="Z66" t="s">
        <v>190</v>
      </c>
      <c r="AA66">
        <v>16.100000000000001</v>
      </c>
      <c r="AB66" t="s">
        <v>71</v>
      </c>
      <c r="AC66" t="s">
        <v>181</v>
      </c>
      <c r="AD66" t="s">
        <v>191</v>
      </c>
      <c r="AE66" t="s">
        <v>192</v>
      </c>
    </row>
    <row r="67" spans="1:31" x14ac:dyDescent="0.3">
      <c r="A67" t="s">
        <v>334</v>
      </c>
      <c r="B67" t="s">
        <v>335</v>
      </c>
      <c r="C67" t="s">
        <v>54</v>
      </c>
      <c r="D67" t="s">
        <v>158</v>
      </c>
      <c r="E67" t="s">
        <v>63</v>
      </c>
      <c r="F67" s="9">
        <v>45806</v>
      </c>
      <c r="G67" s="9">
        <v>45726</v>
      </c>
      <c r="H67" t="s">
        <v>50</v>
      </c>
      <c r="I67" t="s">
        <v>72</v>
      </c>
      <c r="J67" t="s">
        <v>94</v>
      </c>
      <c r="K67" t="s">
        <v>54</v>
      </c>
      <c r="L67" t="s">
        <v>73</v>
      </c>
      <c r="M67" t="s">
        <v>66</v>
      </c>
      <c r="N67">
        <v>3</v>
      </c>
      <c r="O67" t="s">
        <v>64</v>
      </c>
      <c r="P67" t="s">
        <v>54</v>
      </c>
      <c r="Q67" s="9">
        <v>45740</v>
      </c>
      <c r="R67" t="s">
        <v>57</v>
      </c>
      <c r="S67">
        <v>5</v>
      </c>
      <c r="T67">
        <v>1</v>
      </c>
      <c r="U67">
        <v>2</v>
      </c>
      <c r="V67" t="s">
        <v>54</v>
      </c>
      <c r="W67">
        <v>4</v>
      </c>
      <c r="X67" t="s">
        <v>64</v>
      </c>
      <c r="Y67" t="s">
        <v>190</v>
      </c>
      <c r="Z67" t="s">
        <v>190</v>
      </c>
      <c r="AA67">
        <v>15.5</v>
      </c>
      <c r="AB67" t="s">
        <v>51</v>
      </c>
      <c r="AC67" t="s">
        <v>181</v>
      </c>
      <c r="AD67" t="s">
        <v>207</v>
      </c>
      <c r="AE67" t="s">
        <v>192</v>
      </c>
    </row>
    <row r="68" spans="1:31" x14ac:dyDescent="0.3">
      <c r="A68" t="s">
        <v>336</v>
      </c>
      <c r="B68" t="s">
        <v>337</v>
      </c>
      <c r="C68" t="s">
        <v>54</v>
      </c>
      <c r="D68" t="s">
        <v>158</v>
      </c>
      <c r="E68" t="s">
        <v>63</v>
      </c>
      <c r="F68" s="9">
        <v>45834</v>
      </c>
      <c r="G68" s="9">
        <v>45751</v>
      </c>
      <c r="H68" t="s">
        <v>78</v>
      </c>
      <c r="I68" t="s">
        <v>98</v>
      </c>
      <c r="J68" t="s">
        <v>69</v>
      </c>
      <c r="K68" t="s">
        <v>54</v>
      </c>
      <c r="L68" t="s">
        <v>81</v>
      </c>
      <c r="M68" t="s">
        <v>66</v>
      </c>
      <c r="N68">
        <v>6</v>
      </c>
      <c r="O68" t="s">
        <v>64</v>
      </c>
      <c r="P68" t="s">
        <v>54</v>
      </c>
      <c r="Q68" s="9">
        <v>45801</v>
      </c>
      <c r="R68" t="s">
        <v>57</v>
      </c>
      <c r="S68">
        <v>5</v>
      </c>
      <c r="T68">
        <v>1</v>
      </c>
      <c r="U68">
        <v>3</v>
      </c>
      <c r="V68" t="s">
        <v>54</v>
      </c>
      <c r="W68">
        <v>3</v>
      </c>
      <c r="X68" t="s">
        <v>64</v>
      </c>
      <c r="Y68" t="s">
        <v>190</v>
      </c>
      <c r="Z68" t="s">
        <v>190</v>
      </c>
      <c r="AA68">
        <v>20.100000000000001</v>
      </c>
      <c r="AB68" t="s">
        <v>79</v>
      </c>
      <c r="AC68" t="s">
        <v>181</v>
      </c>
      <c r="AD68" t="s">
        <v>207</v>
      </c>
      <c r="AE68" t="s">
        <v>192</v>
      </c>
    </row>
    <row r="69" spans="1:31" x14ac:dyDescent="0.3">
      <c r="A69" t="s">
        <v>338</v>
      </c>
      <c r="B69" t="s">
        <v>339</v>
      </c>
      <c r="C69" t="s">
        <v>54</v>
      </c>
      <c r="D69" t="s">
        <v>158</v>
      </c>
      <c r="E69" t="s">
        <v>53</v>
      </c>
      <c r="F69" s="9">
        <v>45785</v>
      </c>
      <c r="G69" s="9">
        <v>45679</v>
      </c>
      <c r="H69" t="s">
        <v>60</v>
      </c>
      <c r="I69" t="s">
        <v>86</v>
      </c>
      <c r="J69" t="s">
        <v>69</v>
      </c>
      <c r="K69" t="s">
        <v>54</v>
      </c>
      <c r="L69" t="s">
        <v>81</v>
      </c>
      <c r="M69" t="s">
        <v>56</v>
      </c>
      <c r="N69">
        <v>5</v>
      </c>
      <c r="O69" t="s">
        <v>64</v>
      </c>
      <c r="P69" t="s">
        <v>54</v>
      </c>
      <c r="Q69" s="9">
        <v>45727</v>
      </c>
      <c r="R69" t="s">
        <v>57</v>
      </c>
      <c r="S69">
        <v>5</v>
      </c>
      <c r="T69">
        <v>3</v>
      </c>
      <c r="U69">
        <v>3</v>
      </c>
      <c r="V69" t="s">
        <v>54</v>
      </c>
      <c r="W69">
        <v>4</v>
      </c>
      <c r="X69" t="s">
        <v>64</v>
      </c>
      <c r="Y69" t="s">
        <v>190</v>
      </c>
      <c r="Z69" t="s">
        <v>190</v>
      </c>
      <c r="AA69">
        <v>11.5</v>
      </c>
      <c r="AB69" t="s">
        <v>61</v>
      </c>
      <c r="AC69" t="s">
        <v>180</v>
      </c>
      <c r="AD69" t="s">
        <v>207</v>
      </c>
      <c r="AE69" t="s">
        <v>192</v>
      </c>
    </row>
    <row r="70" spans="1:31" x14ac:dyDescent="0.3">
      <c r="A70" t="s">
        <v>340</v>
      </c>
      <c r="B70" t="s">
        <v>341</v>
      </c>
      <c r="C70" t="s">
        <v>54</v>
      </c>
      <c r="D70" t="s">
        <v>158</v>
      </c>
      <c r="E70" t="s">
        <v>63</v>
      </c>
      <c r="F70" s="9">
        <v>45828</v>
      </c>
      <c r="G70" s="9">
        <v>45753</v>
      </c>
      <c r="H70" t="s">
        <v>78</v>
      </c>
      <c r="I70" t="s">
        <v>97</v>
      </c>
      <c r="J70" t="s">
        <v>90</v>
      </c>
      <c r="K70" t="s">
        <v>54</v>
      </c>
      <c r="L70" t="s">
        <v>73</v>
      </c>
      <c r="M70" t="s">
        <v>56</v>
      </c>
      <c r="N70">
        <v>4</v>
      </c>
      <c r="O70" t="s">
        <v>64</v>
      </c>
      <c r="P70" t="s">
        <v>54</v>
      </c>
      <c r="Q70" s="9">
        <v>45767</v>
      </c>
      <c r="R70" t="s">
        <v>67</v>
      </c>
      <c r="S70">
        <v>4</v>
      </c>
      <c r="T70">
        <v>2</v>
      </c>
      <c r="U70">
        <v>3</v>
      </c>
      <c r="V70" t="s">
        <v>64</v>
      </c>
      <c r="W70">
        <v>2</v>
      </c>
      <c r="X70" t="s">
        <v>64</v>
      </c>
      <c r="Y70" t="s">
        <v>190</v>
      </c>
      <c r="Z70" t="s">
        <v>190</v>
      </c>
      <c r="AA70">
        <v>19</v>
      </c>
      <c r="AB70" t="s">
        <v>79</v>
      </c>
      <c r="AC70" t="s">
        <v>181</v>
      </c>
      <c r="AD70" t="s">
        <v>201</v>
      </c>
      <c r="AE70" t="s">
        <v>192</v>
      </c>
    </row>
    <row r="71" spans="1:31" x14ac:dyDescent="0.3">
      <c r="A71" t="s">
        <v>342</v>
      </c>
      <c r="B71" t="s">
        <v>343</v>
      </c>
      <c r="C71" t="s">
        <v>54</v>
      </c>
      <c r="D71" t="s">
        <v>158</v>
      </c>
      <c r="E71" t="s">
        <v>63</v>
      </c>
      <c r="F71" s="9">
        <v>45816</v>
      </c>
      <c r="G71" s="9">
        <v>45755</v>
      </c>
      <c r="H71" t="s">
        <v>70</v>
      </c>
      <c r="I71" t="s">
        <v>91</v>
      </c>
      <c r="J71" t="s">
        <v>90</v>
      </c>
      <c r="K71" t="s">
        <v>54</v>
      </c>
      <c r="L71" t="s">
        <v>81</v>
      </c>
      <c r="M71" t="s">
        <v>56</v>
      </c>
      <c r="N71">
        <v>5</v>
      </c>
      <c r="O71" t="s">
        <v>64</v>
      </c>
      <c r="P71" t="s">
        <v>54</v>
      </c>
      <c r="Q71" s="9">
        <v>45814</v>
      </c>
      <c r="R71" t="s">
        <v>83</v>
      </c>
      <c r="S71">
        <v>5</v>
      </c>
      <c r="T71">
        <v>2</v>
      </c>
      <c r="U71">
        <v>2</v>
      </c>
      <c r="V71" t="s">
        <v>54</v>
      </c>
      <c r="W71">
        <v>4</v>
      </c>
      <c r="X71" t="s">
        <v>54</v>
      </c>
      <c r="Y71" t="s">
        <v>58</v>
      </c>
      <c r="Z71" t="s">
        <v>190</v>
      </c>
      <c r="AA71">
        <v>20.399999999999999</v>
      </c>
      <c r="AB71" t="s">
        <v>71</v>
      </c>
      <c r="AC71" t="s">
        <v>181</v>
      </c>
      <c r="AD71" t="s">
        <v>196</v>
      </c>
      <c r="AE71" t="s">
        <v>222</v>
      </c>
    </row>
    <row r="72" spans="1:31" x14ac:dyDescent="0.3">
      <c r="A72" t="s">
        <v>344</v>
      </c>
      <c r="B72" t="s">
        <v>345</v>
      </c>
      <c r="C72" t="s">
        <v>54</v>
      </c>
      <c r="D72" t="s">
        <v>158</v>
      </c>
      <c r="E72" t="s">
        <v>53</v>
      </c>
      <c r="F72" s="9">
        <v>45751</v>
      </c>
      <c r="G72" s="9">
        <v>45620</v>
      </c>
      <c r="H72" t="s">
        <v>78</v>
      </c>
      <c r="I72" t="s">
        <v>98</v>
      </c>
      <c r="J72" t="s">
        <v>77</v>
      </c>
      <c r="K72" t="s">
        <v>54</v>
      </c>
      <c r="L72" t="s">
        <v>65</v>
      </c>
      <c r="M72" t="s">
        <v>56</v>
      </c>
      <c r="N72">
        <v>12</v>
      </c>
      <c r="O72" t="s">
        <v>64</v>
      </c>
      <c r="P72" t="s">
        <v>54</v>
      </c>
      <c r="Q72" s="9">
        <v>45660</v>
      </c>
      <c r="R72" t="s">
        <v>57</v>
      </c>
      <c r="S72">
        <v>3</v>
      </c>
      <c r="T72">
        <v>2</v>
      </c>
      <c r="U72">
        <v>3</v>
      </c>
      <c r="V72" t="s">
        <v>54</v>
      </c>
      <c r="W72">
        <v>5</v>
      </c>
      <c r="X72" t="s">
        <v>64</v>
      </c>
      <c r="Y72" t="s">
        <v>190</v>
      </c>
      <c r="Z72" t="s">
        <v>190</v>
      </c>
      <c r="AA72">
        <v>8.1999999999999993</v>
      </c>
      <c r="AB72" t="s">
        <v>79</v>
      </c>
      <c r="AC72" t="s">
        <v>180</v>
      </c>
      <c r="AD72" t="s">
        <v>207</v>
      </c>
      <c r="AE72" t="s">
        <v>192</v>
      </c>
    </row>
    <row r="73" spans="1:31" x14ac:dyDescent="0.3">
      <c r="A73" t="s">
        <v>346</v>
      </c>
      <c r="B73" t="s">
        <v>347</v>
      </c>
      <c r="C73" t="s">
        <v>54</v>
      </c>
      <c r="D73" t="s">
        <v>158</v>
      </c>
      <c r="E73" t="s">
        <v>53</v>
      </c>
      <c r="F73" s="9">
        <v>45831</v>
      </c>
      <c r="G73" s="9">
        <v>45712</v>
      </c>
      <c r="H73" t="s">
        <v>50</v>
      </c>
      <c r="I73" t="s">
        <v>62</v>
      </c>
      <c r="J73" t="s">
        <v>69</v>
      </c>
      <c r="K73" t="s">
        <v>54</v>
      </c>
      <c r="L73" t="s">
        <v>73</v>
      </c>
      <c r="M73" t="s">
        <v>66</v>
      </c>
      <c r="N73">
        <v>1</v>
      </c>
      <c r="O73" t="s">
        <v>64</v>
      </c>
      <c r="P73" t="s">
        <v>54</v>
      </c>
      <c r="Q73" s="9">
        <v>45808</v>
      </c>
      <c r="R73" t="s">
        <v>75</v>
      </c>
      <c r="S73">
        <v>1</v>
      </c>
      <c r="T73">
        <v>1</v>
      </c>
      <c r="U73">
        <v>2</v>
      </c>
      <c r="V73" t="s">
        <v>64</v>
      </c>
      <c r="W73">
        <v>4</v>
      </c>
      <c r="X73" t="s">
        <v>64</v>
      </c>
      <c r="Y73" t="s">
        <v>190</v>
      </c>
      <c r="Z73" t="s">
        <v>190</v>
      </c>
      <c r="AA73">
        <v>21</v>
      </c>
      <c r="AB73" t="s">
        <v>51</v>
      </c>
      <c r="AC73" t="s">
        <v>180</v>
      </c>
      <c r="AD73" t="s">
        <v>191</v>
      </c>
      <c r="AE73" t="s">
        <v>192</v>
      </c>
    </row>
    <row r="74" spans="1:31" x14ac:dyDescent="0.3">
      <c r="A74" t="s">
        <v>348</v>
      </c>
      <c r="B74" t="s">
        <v>349</v>
      </c>
      <c r="C74" t="s">
        <v>54</v>
      </c>
      <c r="D74" t="s">
        <v>158</v>
      </c>
      <c r="E74" t="s">
        <v>63</v>
      </c>
      <c r="F74" s="9">
        <v>45773</v>
      </c>
      <c r="G74" s="9">
        <v>45640</v>
      </c>
      <c r="H74" t="s">
        <v>50</v>
      </c>
      <c r="I74" t="s">
        <v>52</v>
      </c>
      <c r="J74" t="s">
        <v>77</v>
      </c>
      <c r="K74" t="s">
        <v>54</v>
      </c>
      <c r="L74" t="s">
        <v>55</v>
      </c>
      <c r="M74" t="s">
        <v>66</v>
      </c>
      <c r="N74">
        <v>4</v>
      </c>
      <c r="O74" t="s">
        <v>54</v>
      </c>
      <c r="P74" t="s">
        <v>54</v>
      </c>
      <c r="Q74" s="9">
        <v>45751</v>
      </c>
      <c r="R74" t="s">
        <v>83</v>
      </c>
      <c r="S74">
        <v>5</v>
      </c>
      <c r="T74">
        <v>2</v>
      </c>
      <c r="U74">
        <v>3</v>
      </c>
      <c r="V74" t="s">
        <v>54</v>
      </c>
      <c r="W74">
        <v>4</v>
      </c>
      <c r="X74" t="s">
        <v>54</v>
      </c>
      <c r="Y74" t="s">
        <v>68</v>
      </c>
      <c r="Z74" t="s">
        <v>190</v>
      </c>
      <c r="AA74">
        <v>23.7</v>
      </c>
      <c r="AB74" t="s">
        <v>51</v>
      </c>
      <c r="AC74" t="s">
        <v>181</v>
      </c>
      <c r="AD74" t="s">
        <v>196</v>
      </c>
      <c r="AE74" t="s">
        <v>243</v>
      </c>
    </row>
    <row r="75" spans="1:31" x14ac:dyDescent="0.3">
      <c r="A75" t="s">
        <v>350</v>
      </c>
      <c r="B75" t="s">
        <v>351</v>
      </c>
      <c r="C75" t="s">
        <v>54</v>
      </c>
      <c r="D75" t="s">
        <v>158</v>
      </c>
      <c r="E75" t="s">
        <v>63</v>
      </c>
      <c r="F75" s="9">
        <v>45773</v>
      </c>
      <c r="G75" s="9">
        <v>45666</v>
      </c>
      <c r="H75" t="s">
        <v>60</v>
      </c>
      <c r="I75" t="s">
        <v>89</v>
      </c>
      <c r="J75" t="s">
        <v>90</v>
      </c>
      <c r="K75" t="s">
        <v>54</v>
      </c>
      <c r="L75" t="s">
        <v>55</v>
      </c>
      <c r="M75" t="s">
        <v>56</v>
      </c>
      <c r="N75">
        <v>5</v>
      </c>
      <c r="O75" t="s">
        <v>54</v>
      </c>
      <c r="P75" t="s">
        <v>54</v>
      </c>
      <c r="Q75" s="9">
        <v>45705</v>
      </c>
      <c r="R75" t="s">
        <v>67</v>
      </c>
      <c r="S75">
        <v>4</v>
      </c>
      <c r="T75">
        <v>3</v>
      </c>
      <c r="U75">
        <v>5</v>
      </c>
      <c r="V75" t="s">
        <v>54</v>
      </c>
      <c r="W75">
        <v>4</v>
      </c>
      <c r="X75" t="s">
        <v>54</v>
      </c>
      <c r="Y75" t="s">
        <v>68</v>
      </c>
      <c r="Z75" t="s">
        <v>190</v>
      </c>
      <c r="AA75">
        <v>11.1</v>
      </c>
      <c r="AB75" t="s">
        <v>61</v>
      </c>
      <c r="AC75" t="s">
        <v>181</v>
      </c>
      <c r="AD75" t="s">
        <v>201</v>
      </c>
      <c r="AE75" t="s">
        <v>243</v>
      </c>
    </row>
    <row r="76" spans="1:31" x14ac:dyDescent="0.3">
      <c r="A76" t="s">
        <v>352</v>
      </c>
      <c r="B76" t="s">
        <v>353</v>
      </c>
      <c r="C76" t="s">
        <v>54</v>
      </c>
      <c r="D76" t="s">
        <v>158</v>
      </c>
      <c r="E76" t="s">
        <v>53</v>
      </c>
      <c r="F76" s="9">
        <v>45830</v>
      </c>
      <c r="G76" s="9">
        <v>45692</v>
      </c>
      <c r="H76" t="s">
        <v>50</v>
      </c>
      <c r="I76" t="s">
        <v>72</v>
      </c>
      <c r="J76" t="s">
        <v>69</v>
      </c>
      <c r="K76" t="s">
        <v>54</v>
      </c>
      <c r="L76" t="s">
        <v>81</v>
      </c>
      <c r="M76" t="s">
        <v>56</v>
      </c>
      <c r="N76">
        <v>5</v>
      </c>
      <c r="O76" t="s">
        <v>64</v>
      </c>
      <c r="P76" t="s">
        <v>64</v>
      </c>
      <c r="Q76" s="9"/>
      <c r="R76" t="s">
        <v>190</v>
      </c>
      <c r="V76" t="s">
        <v>190</v>
      </c>
      <c r="W76">
        <v>4</v>
      </c>
      <c r="X76" t="s">
        <v>64</v>
      </c>
      <c r="Y76" t="s">
        <v>190</v>
      </c>
      <c r="Z76" t="s">
        <v>190</v>
      </c>
      <c r="AA76">
        <v>23.8</v>
      </c>
      <c r="AB76" t="s">
        <v>51</v>
      </c>
      <c r="AC76" t="s">
        <v>180</v>
      </c>
      <c r="AD76" t="s">
        <v>192</v>
      </c>
      <c r="AE76" t="s">
        <v>192</v>
      </c>
    </row>
    <row r="77" spans="1:31" x14ac:dyDescent="0.3">
      <c r="A77" t="s">
        <v>159</v>
      </c>
      <c r="B77" t="s">
        <v>160</v>
      </c>
      <c r="C77" t="s">
        <v>54</v>
      </c>
      <c r="D77" t="s">
        <v>158</v>
      </c>
      <c r="E77" t="s">
        <v>53</v>
      </c>
      <c r="F77" s="9">
        <v>45857</v>
      </c>
      <c r="G77" s="9">
        <v>45766</v>
      </c>
      <c r="H77" t="s">
        <v>78</v>
      </c>
      <c r="I77" t="s">
        <v>96</v>
      </c>
      <c r="J77" t="s">
        <v>77</v>
      </c>
      <c r="K77" t="s">
        <v>54</v>
      </c>
      <c r="L77" t="s">
        <v>55</v>
      </c>
      <c r="M77" t="s">
        <v>66</v>
      </c>
      <c r="N77">
        <v>6</v>
      </c>
      <c r="O77" t="s">
        <v>64</v>
      </c>
      <c r="P77" t="s">
        <v>64</v>
      </c>
      <c r="Q77" s="9"/>
      <c r="R77" t="s">
        <v>190</v>
      </c>
      <c r="V77" t="s">
        <v>190</v>
      </c>
      <c r="W77">
        <v>3</v>
      </c>
      <c r="X77" t="s">
        <v>64</v>
      </c>
      <c r="Y77" t="s">
        <v>190</v>
      </c>
      <c r="Z77" t="s">
        <v>190</v>
      </c>
      <c r="AA77">
        <v>8.3000000000000007</v>
      </c>
      <c r="AB77" t="s">
        <v>79</v>
      </c>
      <c r="AC77" t="s">
        <v>180</v>
      </c>
      <c r="AD77" t="s">
        <v>192</v>
      </c>
      <c r="AE77" t="s">
        <v>192</v>
      </c>
    </row>
    <row r="78" spans="1:31" x14ac:dyDescent="0.3">
      <c r="A78" t="s">
        <v>354</v>
      </c>
      <c r="B78" t="s">
        <v>355</v>
      </c>
      <c r="C78" t="s">
        <v>54</v>
      </c>
      <c r="D78" t="s">
        <v>158</v>
      </c>
      <c r="E78" t="s">
        <v>53</v>
      </c>
      <c r="F78" s="9">
        <v>45920</v>
      </c>
      <c r="G78" s="9">
        <v>45890</v>
      </c>
      <c r="H78" t="s">
        <v>70</v>
      </c>
      <c r="I78" t="s">
        <v>93</v>
      </c>
      <c r="J78" t="s">
        <v>85</v>
      </c>
      <c r="K78" t="s">
        <v>54</v>
      </c>
      <c r="L78" t="s">
        <v>81</v>
      </c>
      <c r="M78" t="s">
        <v>56</v>
      </c>
      <c r="N78">
        <v>2</v>
      </c>
      <c r="O78" t="s">
        <v>64</v>
      </c>
      <c r="P78" t="s">
        <v>64</v>
      </c>
      <c r="Q78" s="9"/>
      <c r="R78" t="s">
        <v>190</v>
      </c>
      <c r="V78" t="s">
        <v>190</v>
      </c>
      <c r="W78">
        <v>4</v>
      </c>
      <c r="X78" t="s">
        <v>64</v>
      </c>
      <c r="Y78" t="s">
        <v>190</v>
      </c>
      <c r="Z78" t="s">
        <v>190</v>
      </c>
      <c r="AA78">
        <v>6.5</v>
      </c>
      <c r="AB78" t="s">
        <v>71</v>
      </c>
      <c r="AC78" t="s">
        <v>180</v>
      </c>
      <c r="AD78" t="s">
        <v>192</v>
      </c>
      <c r="AE78" t="s">
        <v>192</v>
      </c>
    </row>
    <row r="79" spans="1:31" x14ac:dyDescent="0.3">
      <c r="A79" t="s">
        <v>356</v>
      </c>
      <c r="B79" t="s">
        <v>357</v>
      </c>
      <c r="C79" t="s">
        <v>54</v>
      </c>
      <c r="D79" t="s">
        <v>158</v>
      </c>
      <c r="E79" t="s">
        <v>53</v>
      </c>
      <c r="F79" s="9">
        <v>45891</v>
      </c>
      <c r="G79" s="9">
        <v>45823</v>
      </c>
      <c r="H79" t="s">
        <v>78</v>
      </c>
      <c r="I79" t="s">
        <v>96</v>
      </c>
      <c r="J79" t="s">
        <v>90</v>
      </c>
      <c r="K79" t="s">
        <v>54</v>
      </c>
      <c r="L79" t="s">
        <v>73</v>
      </c>
      <c r="M79" t="s">
        <v>66</v>
      </c>
      <c r="N79">
        <v>7</v>
      </c>
      <c r="O79" t="s">
        <v>64</v>
      </c>
      <c r="P79" t="s">
        <v>64</v>
      </c>
      <c r="Q79" s="9">
        <v>45891</v>
      </c>
      <c r="R79" t="s">
        <v>75</v>
      </c>
      <c r="S79">
        <v>4</v>
      </c>
      <c r="T79">
        <v>2</v>
      </c>
      <c r="U79">
        <v>4</v>
      </c>
      <c r="V79" t="s">
        <v>54</v>
      </c>
      <c r="W79">
        <v>5</v>
      </c>
      <c r="X79" t="s">
        <v>64</v>
      </c>
      <c r="Y79" t="s">
        <v>190</v>
      </c>
      <c r="Z79" t="s">
        <v>358</v>
      </c>
      <c r="AA79">
        <v>10.8</v>
      </c>
      <c r="AB79" t="s">
        <v>79</v>
      </c>
      <c r="AC79" t="s">
        <v>180</v>
      </c>
      <c r="AD79" t="s">
        <v>191</v>
      </c>
      <c r="AE79" t="s">
        <v>192</v>
      </c>
    </row>
    <row r="80" spans="1:31" x14ac:dyDescent="0.3">
      <c r="A80" t="s">
        <v>359</v>
      </c>
      <c r="B80" t="s">
        <v>360</v>
      </c>
      <c r="C80" t="s">
        <v>54</v>
      </c>
      <c r="D80" t="s">
        <v>158</v>
      </c>
      <c r="E80" t="s">
        <v>63</v>
      </c>
      <c r="F80" s="9">
        <v>45902</v>
      </c>
      <c r="G80" s="9">
        <v>45782</v>
      </c>
      <c r="H80" t="s">
        <v>78</v>
      </c>
      <c r="I80" t="s">
        <v>96</v>
      </c>
      <c r="J80" t="s">
        <v>85</v>
      </c>
      <c r="K80" t="s">
        <v>54</v>
      </c>
      <c r="L80" t="s">
        <v>81</v>
      </c>
      <c r="M80" t="s">
        <v>66</v>
      </c>
      <c r="N80">
        <v>10</v>
      </c>
      <c r="O80" t="s">
        <v>64</v>
      </c>
      <c r="P80" t="s">
        <v>54</v>
      </c>
      <c r="Q80" s="9">
        <v>45833</v>
      </c>
      <c r="R80" t="s">
        <v>67</v>
      </c>
      <c r="S80">
        <v>2</v>
      </c>
      <c r="T80">
        <v>4</v>
      </c>
      <c r="U80">
        <v>5</v>
      </c>
      <c r="V80" t="s">
        <v>64</v>
      </c>
      <c r="W80">
        <v>4</v>
      </c>
      <c r="X80" t="s">
        <v>54</v>
      </c>
      <c r="Y80" t="s">
        <v>68</v>
      </c>
      <c r="Z80" t="s">
        <v>190</v>
      </c>
      <c r="AA80">
        <v>12.3</v>
      </c>
      <c r="AB80" t="s">
        <v>79</v>
      </c>
      <c r="AC80" t="s">
        <v>181</v>
      </c>
      <c r="AD80" t="s">
        <v>201</v>
      </c>
      <c r="AE80" t="s">
        <v>243</v>
      </c>
    </row>
    <row r="81" spans="1:31" x14ac:dyDescent="0.3">
      <c r="A81" t="s">
        <v>361</v>
      </c>
      <c r="B81" t="s">
        <v>362</v>
      </c>
      <c r="C81" t="s">
        <v>54</v>
      </c>
      <c r="D81" t="s">
        <v>158</v>
      </c>
      <c r="E81" t="s">
        <v>63</v>
      </c>
      <c r="F81" s="9">
        <v>45904</v>
      </c>
      <c r="G81" s="9">
        <v>45870</v>
      </c>
      <c r="H81" t="s">
        <v>78</v>
      </c>
      <c r="I81" t="s">
        <v>96</v>
      </c>
      <c r="J81" t="s">
        <v>92</v>
      </c>
      <c r="K81" t="s">
        <v>54</v>
      </c>
      <c r="L81" t="s">
        <v>73</v>
      </c>
      <c r="M81" t="s">
        <v>56</v>
      </c>
      <c r="N81">
        <v>3</v>
      </c>
      <c r="O81" t="s">
        <v>64</v>
      </c>
      <c r="P81" t="s">
        <v>54</v>
      </c>
      <c r="Q81" s="9">
        <v>45881</v>
      </c>
      <c r="R81" t="s">
        <v>75</v>
      </c>
      <c r="S81">
        <v>4</v>
      </c>
      <c r="T81">
        <v>3</v>
      </c>
      <c r="U81">
        <v>4</v>
      </c>
      <c r="V81" t="s">
        <v>54</v>
      </c>
      <c r="W81">
        <v>5</v>
      </c>
      <c r="X81" t="s">
        <v>64</v>
      </c>
      <c r="Y81" t="s">
        <v>190</v>
      </c>
      <c r="Z81" t="s">
        <v>190</v>
      </c>
      <c r="AA81">
        <v>16.100000000000001</v>
      </c>
      <c r="AB81" t="s">
        <v>79</v>
      </c>
      <c r="AC81" t="s">
        <v>181</v>
      </c>
      <c r="AD81" t="s">
        <v>191</v>
      </c>
      <c r="AE81" t="s">
        <v>192</v>
      </c>
    </row>
    <row r="82" spans="1:31" x14ac:dyDescent="0.3">
      <c r="A82" t="s">
        <v>363</v>
      </c>
      <c r="B82" t="s">
        <v>364</v>
      </c>
      <c r="C82" t="s">
        <v>54</v>
      </c>
      <c r="D82" t="s">
        <v>158</v>
      </c>
      <c r="E82" t="s">
        <v>63</v>
      </c>
      <c r="F82" s="9">
        <v>45763</v>
      </c>
      <c r="G82" s="9">
        <v>45702</v>
      </c>
      <c r="H82" t="s">
        <v>50</v>
      </c>
      <c r="I82" t="s">
        <v>72</v>
      </c>
      <c r="J82" t="s">
        <v>92</v>
      </c>
      <c r="K82" t="s">
        <v>54</v>
      </c>
      <c r="L82" t="s">
        <v>55</v>
      </c>
      <c r="M82" t="s">
        <v>56</v>
      </c>
      <c r="N82">
        <v>5</v>
      </c>
      <c r="O82" t="s">
        <v>64</v>
      </c>
      <c r="P82" t="s">
        <v>64</v>
      </c>
      <c r="Q82" s="9"/>
      <c r="R82" t="s">
        <v>190</v>
      </c>
      <c r="V82" t="s">
        <v>190</v>
      </c>
      <c r="W82">
        <v>4</v>
      </c>
      <c r="X82" t="s">
        <v>64</v>
      </c>
      <c r="Y82" t="s">
        <v>190</v>
      </c>
      <c r="Z82" t="s">
        <v>190</v>
      </c>
      <c r="AA82">
        <v>13.8</v>
      </c>
      <c r="AB82" t="s">
        <v>51</v>
      </c>
      <c r="AC82" t="s">
        <v>181</v>
      </c>
      <c r="AD82" t="s">
        <v>192</v>
      </c>
      <c r="AE82" t="s">
        <v>192</v>
      </c>
    </row>
    <row r="83" spans="1:31" x14ac:dyDescent="0.3">
      <c r="A83" t="s">
        <v>365</v>
      </c>
      <c r="B83" t="s">
        <v>366</v>
      </c>
      <c r="C83" t="s">
        <v>54</v>
      </c>
      <c r="D83" t="s">
        <v>158</v>
      </c>
      <c r="E83" t="s">
        <v>63</v>
      </c>
      <c r="F83" s="9">
        <v>45921</v>
      </c>
      <c r="G83" s="9">
        <v>45772</v>
      </c>
      <c r="H83" t="s">
        <v>60</v>
      </c>
      <c r="I83" t="s">
        <v>89</v>
      </c>
      <c r="J83" t="s">
        <v>90</v>
      </c>
      <c r="K83" t="s">
        <v>54</v>
      </c>
      <c r="L83" t="s">
        <v>73</v>
      </c>
      <c r="M83" t="s">
        <v>56</v>
      </c>
      <c r="N83">
        <v>2</v>
      </c>
      <c r="O83" t="s">
        <v>64</v>
      </c>
      <c r="P83" t="s">
        <v>54</v>
      </c>
      <c r="Q83" s="9">
        <v>45880</v>
      </c>
      <c r="R83" t="s">
        <v>67</v>
      </c>
      <c r="S83">
        <v>4</v>
      </c>
      <c r="T83">
        <v>3</v>
      </c>
      <c r="U83">
        <v>5</v>
      </c>
      <c r="V83" t="s">
        <v>64</v>
      </c>
      <c r="W83">
        <v>5</v>
      </c>
      <c r="X83" t="s">
        <v>64</v>
      </c>
      <c r="Y83" t="s">
        <v>190</v>
      </c>
      <c r="Z83" t="s">
        <v>190</v>
      </c>
      <c r="AA83">
        <v>12.3</v>
      </c>
      <c r="AB83" t="s">
        <v>61</v>
      </c>
      <c r="AC83" t="s">
        <v>181</v>
      </c>
      <c r="AD83" t="s">
        <v>201</v>
      </c>
      <c r="AE83" t="s">
        <v>192</v>
      </c>
    </row>
    <row r="84" spans="1:31" x14ac:dyDescent="0.3">
      <c r="A84" t="s">
        <v>367</v>
      </c>
      <c r="B84" t="s">
        <v>368</v>
      </c>
      <c r="C84" t="s">
        <v>54</v>
      </c>
      <c r="D84" t="s">
        <v>158</v>
      </c>
      <c r="E84" t="s">
        <v>63</v>
      </c>
      <c r="F84" s="9">
        <v>45914</v>
      </c>
      <c r="G84" s="9">
        <v>45795</v>
      </c>
      <c r="H84" t="s">
        <v>60</v>
      </c>
      <c r="I84" t="s">
        <v>86</v>
      </c>
      <c r="J84" t="s">
        <v>92</v>
      </c>
      <c r="K84" t="s">
        <v>54</v>
      </c>
      <c r="L84" t="s">
        <v>73</v>
      </c>
      <c r="M84" t="s">
        <v>66</v>
      </c>
      <c r="N84">
        <v>4</v>
      </c>
      <c r="O84" t="s">
        <v>64</v>
      </c>
      <c r="P84" t="s">
        <v>54</v>
      </c>
      <c r="Q84" s="9">
        <v>45816</v>
      </c>
      <c r="R84" t="s">
        <v>57</v>
      </c>
      <c r="S84">
        <v>2</v>
      </c>
      <c r="T84">
        <v>4</v>
      </c>
      <c r="U84">
        <v>5</v>
      </c>
      <c r="V84" t="s">
        <v>54</v>
      </c>
      <c r="W84">
        <v>5</v>
      </c>
      <c r="X84" t="s">
        <v>64</v>
      </c>
      <c r="Y84" t="s">
        <v>190</v>
      </c>
      <c r="Z84" t="s">
        <v>190</v>
      </c>
      <c r="AA84">
        <v>19.100000000000001</v>
      </c>
      <c r="AB84" t="s">
        <v>61</v>
      </c>
      <c r="AC84" t="s">
        <v>181</v>
      </c>
      <c r="AD84" t="s">
        <v>207</v>
      </c>
      <c r="AE84" t="s">
        <v>192</v>
      </c>
    </row>
    <row r="85" spans="1:31" x14ac:dyDescent="0.3">
      <c r="A85" t="s">
        <v>369</v>
      </c>
      <c r="B85" t="s">
        <v>370</v>
      </c>
      <c r="C85" t="s">
        <v>54</v>
      </c>
      <c r="D85" t="s">
        <v>158</v>
      </c>
      <c r="E85" t="s">
        <v>63</v>
      </c>
      <c r="F85" s="9">
        <v>45769</v>
      </c>
      <c r="G85" s="9">
        <v>45687</v>
      </c>
      <c r="H85" t="s">
        <v>78</v>
      </c>
      <c r="I85" t="s">
        <v>96</v>
      </c>
      <c r="J85" t="s">
        <v>94</v>
      </c>
      <c r="K85" t="s">
        <v>54</v>
      </c>
      <c r="L85" t="s">
        <v>55</v>
      </c>
      <c r="M85" t="s">
        <v>56</v>
      </c>
      <c r="N85">
        <v>4</v>
      </c>
      <c r="O85" t="s">
        <v>54</v>
      </c>
      <c r="P85" t="s">
        <v>64</v>
      </c>
      <c r="Q85" s="9">
        <v>45769</v>
      </c>
      <c r="R85" t="s">
        <v>75</v>
      </c>
      <c r="S85">
        <v>4</v>
      </c>
      <c r="T85">
        <v>2</v>
      </c>
      <c r="U85">
        <v>4</v>
      </c>
      <c r="V85" t="s">
        <v>54</v>
      </c>
      <c r="W85">
        <v>4</v>
      </c>
      <c r="X85" t="s">
        <v>64</v>
      </c>
      <c r="Y85" t="s">
        <v>190</v>
      </c>
      <c r="Z85" t="s">
        <v>190</v>
      </c>
      <c r="AA85">
        <v>10</v>
      </c>
      <c r="AB85" t="s">
        <v>79</v>
      </c>
      <c r="AC85" t="s">
        <v>181</v>
      </c>
      <c r="AD85" t="s">
        <v>191</v>
      </c>
      <c r="AE85" t="s">
        <v>192</v>
      </c>
    </row>
    <row r="86" spans="1:31" x14ac:dyDescent="0.3">
      <c r="A86" t="s">
        <v>371</v>
      </c>
      <c r="B86" t="s">
        <v>372</v>
      </c>
      <c r="C86" t="s">
        <v>54</v>
      </c>
      <c r="D86" t="s">
        <v>158</v>
      </c>
      <c r="E86" t="s">
        <v>53</v>
      </c>
      <c r="F86" s="9">
        <v>45888</v>
      </c>
      <c r="G86" s="9">
        <v>45786</v>
      </c>
      <c r="H86" t="s">
        <v>60</v>
      </c>
      <c r="I86" t="s">
        <v>89</v>
      </c>
      <c r="J86" t="s">
        <v>92</v>
      </c>
      <c r="K86" t="s">
        <v>54</v>
      </c>
      <c r="L86" t="s">
        <v>55</v>
      </c>
      <c r="M86" t="s">
        <v>66</v>
      </c>
      <c r="N86">
        <v>3</v>
      </c>
      <c r="O86" t="s">
        <v>64</v>
      </c>
      <c r="P86" t="s">
        <v>54</v>
      </c>
      <c r="Q86" s="9">
        <v>45796</v>
      </c>
      <c r="R86" t="s">
        <v>75</v>
      </c>
      <c r="S86">
        <v>4</v>
      </c>
      <c r="T86">
        <v>2</v>
      </c>
      <c r="U86">
        <v>2</v>
      </c>
      <c r="V86" t="s">
        <v>54</v>
      </c>
      <c r="W86">
        <v>3</v>
      </c>
      <c r="X86" t="s">
        <v>54</v>
      </c>
      <c r="Y86" t="s">
        <v>58</v>
      </c>
      <c r="Z86" t="s">
        <v>190</v>
      </c>
      <c r="AA86">
        <v>10.6</v>
      </c>
      <c r="AB86" t="s">
        <v>61</v>
      </c>
      <c r="AC86" t="s">
        <v>180</v>
      </c>
      <c r="AD86" t="s">
        <v>191</v>
      </c>
      <c r="AE86" t="s">
        <v>222</v>
      </c>
    </row>
    <row r="87" spans="1:31" x14ac:dyDescent="0.3">
      <c r="A87" t="s">
        <v>373</v>
      </c>
      <c r="B87" t="s">
        <v>374</v>
      </c>
      <c r="C87" t="s">
        <v>54</v>
      </c>
      <c r="D87" t="s">
        <v>158</v>
      </c>
      <c r="E87" t="s">
        <v>53</v>
      </c>
      <c r="F87" s="9">
        <v>45898</v>
      </c>
      <c r="G87" s="9">
        <v>45912</v>
      </c>
      <c r="H87" t="s">
        <v>70</v>
      </c>
      <c r="I87" t="s">
        <v>95</v>
      </c>
      <c r="J87" t="s">
        <v>85</v>
      </c>
      <c r="K87" t="s">
        <v>54</v>
      </c>
      <c r="L87" t="s">
        <v>55</v>
      </c>
      <c r="M87" t="s">
        <v>56</v>
      </c>
      <c r="N87">
        <v>5</v>
      </c>
      <c r="O87" t="s">
        <v>64</v>
      </c>
      <c r="P87" t="s">
        <v>54</v>
      </c>
      <c r="Q87" s="9">
        <v>45805</v>
      </c>
      <c r="R87" t="s">
        <v>67</v>
      </c>
      <c r="S87">
        <v>3</v>
      </c>
      <c r="T87">
        <v>4</v>
      </c>
      <c r="U87">
        <v>4</v>
      </c>
      <c r="V87" t="s">
        <v>54</v>
      </c>
      <c r="W87">
        <v>5</v>
      </c>
      <c r="X87" t="s">
        <v>54</v>
      </c>
      <c r="Y87" t="s">
        <v>76</v>
      </c>
      <c r="Z87" t="s">
        <v>190</v>
      </c>
      <c r="AA87">
        <v>17.5</v>
      </c>
      <c r="AB87" t="s">
        <v>71</v>
      </c>
      <c r="AC87" t="s">
        <v>180</v>
      </c>
      <c r="AD87" t="s">
        <v>201</v>
      </c>
      <c r="AE87" t="s">
        <v>237</v>
      </c>
    </row>
    <row r="88" spans="1:31" x14ac:dyDescent="0.3">
      <c r="A88" t="s">
        <v>375</v>
      </c>
      <c r="B88" t="s">
        <v>376</v>
      </c>
      <c r="C88" t="s">
        <v>54</v>
      </c>
      <c r="D88" t="s">
        <v>158</v>
      </c>
      <c r="E88" t="s">
        <v>63</v>
      </c>
      <c r="F88" s="9">
        <v>45815</v>
      </c>
      <c r="G88" s="9">
        <v>45729</v>
      </c>
      <c r="H88" t="s">
        <v>78</v>
      </c>
      <c r="I88" t="s">
        <v>190</v>
      </c>
      <c r="J88" t="s">
        <v>92</v>
      </c>
      <c r="K88" t="s">
        <v>54</v>
      </c>
      <c r="L88" t="s">
        <v>73</v>
      </c>
      <c r="M88" t="s">
        <v>56</v>
      </c>
      <c r="N88">
        <v>6</v>
      </c>
      <c r="O88" t="s">
        <v>64</v>
      </c>
      <c r="P88" t="s">
        <v>54</v>
      </c>
      <c r="Q88" s="9">
        <v>45737</v>
      </c>
      <c r="R88" t="s">
        <v>67</v>
      </c>
      <c r="S88">
        <v>3</v>
      </c>
      <c r="T88">
        <v>2</v>
      </c>
      <c r="U88">
        <v>3</v>
      </c>
      <c r="V88" t="s">
        <v>54</v>
      </c>
      <c r="W88">
        <v>3</v>
      </c>
      <c r="X88" t="s">
        <v>64</v>
      </c>
      <c r="Y88" t="s">
        <v>190</v>
      </c>
      <c r="Z88" t="s">
        <v>190</v>
      </c>
      <c r="AA88">
        <v>4</v>
      </c>
      <c r="AB88" t="s">
        <v>79</v>
      </c>
      <c r="AC88" t="s">
        <v>181</v>
      </c>
      <c r="AD88" t="s">
        <v>201</v>
      </c>
      <c r="AE88" t="s">
        <v>192</v>
      </c>
    </row>
    <row r="89" spans="1:31" x14ac:dyDescent="0.3">
      <c r="A89" t="s">
        <v>377</v>
      </c>
      <c r="B89" t="s">
        <v>378</v>
      </c>
      <c r="C89" t="s">
        <v>54</v>
      </c>
      <c r="D89" t="s">
        <v>158</v>
      </c>
      <c r="E89" t="s">
        <v>53</v>
      </c>
      <c r="F89" s="9">
        <v>45781</v>
      </c>
      <c r="G89" s="9">
        <v>45632</v>
      </c>
      <c r="H89" t="s">
        <v>50</v>
      </c>
      <c r="I89" t="s">
        <v>72</v>
      </c>
      <c r="J89" t="s">
        <v>90</v>
      </c>
      <c r="K89" t="s">
        <v>54</v>
      </c>
      <c r="L89" t="s">
        <v>65</v>
      </c>
      <c r="M89" t="s">
        <v>66</v>
      </c>
      <c r="N89">
        <v>8</v>
      </c>
      <c r="O89" t="s">
        <v>54</v>
      </c>
      <c r="P89" t="s">
        <v>54</v>
      </c>
      <c r="Q89" s="9">
        <v>45637</v>
      </c>
      <c r="R89" t="s">
        <v>83</v>
      </c>
      <c r="S89">
        <v>4</v>
      </c>
      <c r="T89">
        <v>3</v>
      </c>
      <c r="U89">
        <v>3</v>
      </c>
      <c r="V89" t="s">
        <v>54</v>
      </c>
      <c r="W89">
        <v>2</v>
      </c>
      <c r="X89" t="s">
        <v>64</v>
      </c>
      <c r="Y89" t="s">
        <v>190</v>
      </c>
      <c r="Z89" t="s">
        <v>190</v>
      </c>
      <c r="AA89">
        <v>27.4</v>
      </c>
      <c r="AB89" t="s">
        <v>51</v>
      </c>
      <c r="AC89" t="s">
        <v>180</v>
      </c>
      <c r="AD89" t="s">
        <v>196</v>
      </c>
      <c r="AE89" t="s">
        <v>192</v>
      </c>
    </row>
    <row r="90" spans="1:31" x14ac:dyDescent="0.3">
      <c r="A90" t="s">
        <v>379</v>
      </c>
      <c r="B90" t="s">
        <v>380</v>
      </c>
      <c r="C90" t="s">
        <v>54</v>
      </c>
      <c r="D90" t="s">
        <v>158</v>
      </c>
      <c r="E90" t="s">
        <v>63</v>
      </c>
      <c r="F90" s="9">
        <v>45915</v>
      </c>
      <c r="G90" s="9">
        <v>45768</v>
      </c>
      <c r="H90" t="s">
        <v>70</v>
      </c>
      <c r="I90" t="s">
        <v>93</v>
      </c>
      <c r="J90" t="s">
        <v>92</v>
      </c>
      <c r="K90" t="s">
        <v>54</v>
      </c>
      <c r="L90" t="s">
        <v>87</v>
      </c>
      <c r="M90" t="s">
        <v>56</v>
      </c>
      <c r="N90">
        <v>6</v>
      </c>
      <c r="O90" t="s">
        <v>64</v>
      </c>
      <c r="P90" t="s">
        <v>54</v>
      </c>
      <c r="Q90" s="9">
        <v>45895</v>
      </c>
      <c r="R90" t="s">
        <v>67</v>
      </c>
      <c r="S90">
        <v>1</v>
      </c>
      <c r="T90">
        <v>1</v>
      </c>
      <c r="U90">
        <v>2</v>
      </c>
      <c r="V90" t="s">
        <v>64</v>
      </c>
      <c r="W90">
        <v>3</v>
      </c>
      <c r="X90" t="s">
        <v>64</v>
      </c>
      <c r="Y90" t="s">
        <v>190</v>
      </c>
      <c r="Z90" t="s">
        <v>190</v>
      </c>
      <c r="AA90">
        <v>21.2</v>
      </c>
      <c r="AB90" t="s">
        <v>71</v>
      </c>
      <c r="AC90" t="s">
        <v>181</v>
      </c>
      <c r="AD90" t="s">
        <v>201</v>
      </c>
      <c r="AE90" t="s">
        <v>192</v>
      </c>
    </row>
    <row r="91" spans="1:31" x14ac:dyDescent="0.3">
      <c r="A91" t="s">
        <v>381</v>
      </c>
      <c r="B91" t="s">
        <v>382</v>
      </c>
      <c r="C91" t="s">
        <v>54</v>
      </c>
      <c r="D91" t="s">
        <v>158</v>
      </c>
      <c r="E91" t="s">
        <v>53</v>
      </c>
      <c r="F91" s="9">
        <v>45900</v>
      </c>
      <c r="G91" s="9">
        <v>45787</v>
      </c>
      <c r="H91" t="s">
        <v>60</v>
      </c>
      <c r="I91" t="s">
        <v>89</v>
      </c>
      <c r="J91" t="s">
        <v>59</v>
      </c>
      <c r="K91" t="s">
        <v>54</v>
      </c>
      <c r="L91" t="s">
        <v>81</v>
      </c>
      <c r="M91" t="s">
        <v>66</v>
      </c>
      <c r="N91">
        <v>6</v>
      </c>
      <c r="O91" t="s">
        <v>64</v>
      </c>
      <c r="P91" t="s">
        <v>54</v>
      </c>
      <c r="Q91" s="9">
        <v>45858</v>
      </c>
      <c r="R91" t="s">
        <v>83</v>
      </c>
      <c r="S91">
        <v>5</v>
      </c>
      <c r="T91">
        <v>3</v>
      </c>
      <c r="U91">
        <v>5</v>
      </c>
      <c r="V91" t="s">
        <v>64</v>
      </c>
      <c r="W91">
        <v>3</v>
      </c>
      <c r="X91" t="s">
        <v>54</v>
      </c>
      <c r="Y91" t="s">
        <v>58</v>
      </c>
      <c r="Z91" t="s">
        <v>266</v>
      </c>
      <c r="AA91">
        <v>16.7</v>
      </c>
      <c r="AB91" t="s">
        <v>61</v>
      </c>
      <c r="AC91" t="s">
        <v>180</v>
      </c>
      <c r="AD91" t="s">
        <v>196</v>
      </c>
      <c r="AE91" t="s">
        <v>222</v>
      </c>
    </row>
    <row r="92" spans="1:31" x14ac:dyDescent="0.3">
      <c r="A92" t="s">
        <v>383</v>
      </c>
      <c r="B92" t="s">
        <v>384</v>
      </c>
      <c r="C92" t="s">
        <v>54</v>
      </c>
      <c r="D92" t="s">
        <v>158</v>
      </c>
      <c r="E92" t="s">
        <v>53</v>
      </c>
      <c r="F92" s="9">
        <v>45891</v>
      </c>
      <c r="G92" s="9">
        <v>45860</v>
      </c>
      <c r="H92" t="s">
        <v>60</v>
      </c>
      <c r="I92" t="s">
        <v>89</v>
      </c>
      <c r="J92" t="s">
        <v>69</v>
      </c>
      <c r="K92" t="s">
        <v>54</v>
      </c>
      <c r="L92" t="s">
        <v>81</v>
      </c>
      <c r="M92" t="s">
        <v>66</v>
      </c>
      <c r="N92">
        <v>5</v>
      </c>
      <c r="O92" t="s">
        <v>54</v>
      </c>
      <c r="P92" t="s">
        <v>54</v>
      </c>
      <c r="Q92" s="9">
        <v>45868</v>
      </c>
      <c r="R92" t="s">
        <v>57</v>
      </c>
      <c r="S92">
        <v>3</v>
      </c>
      <c r="T92">
        <v>3</v>
      </c>
      <c r="U92">
        <v>4</v>
      </c>
      <c r="V92" t="s">
        <v>64</v>
      </c>
      <c r="W92">
        <v>4</v>
      </c>
      <c r="X92" t="s">
        <v>54</v>
      </c>
      <c r="Y92" t="s">
        <v>58</v>
      </c>
      <c r="Z92" t="s">
        <v>190</v>
      </c>
      <c r="AA92">
        <v>27.9</v>
      </c>
      <c r="AB92" t="s">
        <v>61</v>
      </c>
      <c r="AC92" t="s">
        <v>180</v>
      </c>
      <c r="AD92" t="s">
        <v>207</v>
      </c>
      <c r="AE92" t="s">
        <v>222</v>
      </c>
    </row>
    <row r="93" spans="1:31" x14ac:dyDescent="0.3">
      <c r="A93" t="s">
        <v>385</v>
      </c>
      <c r="B93" t="s">
        <v>386</v>
      </c>
      <c r="C93" t="s">
        <v>54</v>
      </c>
      <c r="D93" t="s">
        <v>158</v>
      </c>
      <c r="E93" t="s">
        <v>53</v>
      </c>
      <c r="F93" s="9">
        <v>45791</v>
      </c>
      <c r="G93" s="9">
        <v>45757</v>
      </c>
      <c r="H93" t="s">
        <v>50</v>
      </c>
      <c r="I93" t="s">
        <v>62</v>
      </c>
      <c r="J93" t="s">
        <v>88</v>
      </c>
      <c r="K93" t="s">
        <v>54</v>
      </c>
      <c r="L93" t="s">
        <v>87</v>
      </c>
      <c r="M93" t="s">
        <v>74</v>
      </c>
      <c r="N93">
        <v>4</v>
      </c>
      <c r="O93" t="s">
        <v>64</v>
      </c>
      <c r="P93" t="s">
        <v>54</v>
      </c>
      <c r="Q93" s="9">
        <v>45763</v>
      </c>
      <c r="R93" t="s">
        <v>83</v>
      </c>
      <c r="S93">
        <v>4</v>
      </c>
      <c r="T93">
        <v>3</v>
      </c>
      <c r="U93">
        <v>4</v>
      </c>
      <c r="V93" t="s">
        <v>54</v>
      </c>
      <c r="W93">
        <v>3</v>
      </c>
      <c r="X93" t="s">
        <v>64</v>
      </c>
      <c r="Y93" t="s">
        <v>190</v>
      </c>
      <c r="Z93" t="s">
        <v>190</v>
      </c>
      <c r="AA93">
        <v>24.7</v>
      </c>
      <c r="AB93" t="s">
        <v>51</v>
      </c>
      <c r="AC93" t="s">
        <v>180</v>
      </c>
      <c r="AD93" t="s">
        <v>196</v>
      </c>
      <c r="AE93" t="s">
        <v>192</v>
      </c>
    </row>
    <row r="94" spans="1:31" x14ac:dyDescent="0.3">
      <c r="A94" t="s">
        <v>387</v>
      </c>
      <c r="B94" t="s">
        <v>388</v>
      </c>
      <c r="C94" t="s">
        <v>54</v>
      </c>
      <c r="D94" t="s">
        <v>158</v>
      </c>
      <c r="E94" t="s">
        <v>63</v>
      </c>
      <c r="F94" s="9">
        <v>45884</v>
      </c>
      <c r="G94" s="9">
        <v>45750</v>
      </c>
      <c r="H94" t="s">
        <v>60</v>
      </c>
      <c r="I94" t="s">
        <v>86</v>
      </c>
      <c r="J94" t="s">
        <v>59</v>
      </c>
      <c r="K94" t="s">
        <v>54</v>
      </c>
      <c r="L94" t="s">
        <v>73</v>
      </c>
      <c r="M94" t="s">
        <v>74</v>
      </c>
      <c r="N94">
        <v>5</v>
      </c>
      <c r="O94" t="s">
        <v>64</v>
      </c>
      <c r="P94" t="s">
        <v>54</v>
      </c>
      <c r="Q94" s="9">
        <v>45762</v>
      </c>
      <c r="R94" t="s">
        <v>75</v>
      </c>
      <c r="S94">
        <v>4</v>
      </c>
      <c r="T94">
        <v>4</v>
      </c>
      <c r="U94">
        <v>5</v>
      </c>
      <c r="V94" t="s">
        <v>54</v>
      </c>
      <c r="W94">
        <v>2</v>
      </c>
      <c r="X94" t="s">
        <v>54</v>
      </c>
      <c r="Y94" t="s">
        <v>68</v>
      </c>
      <c r="Z94" t="s">
        <v>190</v>
      </c>
      <c r="AA94">
        <v>4</v>
      </c>
      <c r="AB94" t="s">
        <v>61</v>
      </c>
      <c r="AC94" t="s">
        <v>181</v>
      </c>
      <c r="AD94" t="s">
        <v>191</v>
      </c>
      <c r="AE94" t="s">
        <v>243</v>
      </c>
    </row>
    <row r="95" spans="1:31" x14ac:dyDescent="0.3">
      <c r="A95" t="s">
        <v>389</v>
      </c>
      <c r="B95" t="s">
        <v>390</v>
      </c>
      <c r="C95" t="s">
        <v>54</v>
      </c>
      <c r="D95" t="s">
        <v>158</v>
      </c>
      <c r="E95" t="s">
        <v>53</v>
      </c>
      <c r="F95" s="9">
        <v>45838</v>
      </c>
      <c r="G95" s="9">
        <v>45727</v>
      </c>
      <c r="H95" t="s">
        <v>50</v>
      </c>
      <c r="I95" t="s">
        <v>72</v>
      </c>
      <c r="J95" t="s">
        <v>88</v>
      </c>
      <c r="K95" t="s">
        <v>54</v>
      </c>
      <c r="L95" t="s">
        <v>73</v>
      </c>
      <c r="M95" t="s">
        <v>66</v>
      </c>
      <c r="N95">
        <v>4</v>
      </c>
      <c r="O95" t="s">
        <v>64</v>
      </c>
      <c r="P95" t="s">
        <v>54</v>
      </c>
      <c r="Q95" s="9">
        <v>45826</v>
      </c>
      <c r="R95" t="s">
        <v>83</v>
      </c>
      <c r="S95">
        <v>2</v>
      </c>
      <c r="T95">
        <v>1</v>
      </c>
      <c r="U95">
        <v>2</v>
      </c>
      <c r="V95" t="s">
        <v>54</v>
      </c>
      <c r="W95">
        <v>4</v>
      </c>
      <c r="X95" t="s">
        <v>64</v>
      </c>
      <c r="Y95" t="s">
        <v>190</v>
      </c>
      <c r="Z95" t="s">
        <v>190</v>
      </c>
      <c r="AA95">
        <v>18.8</v>
      </c>
      <c r="AB95" t="s">
        <v>51</v>
      </c>
      <c r="AC95" t="s">
        <v>180</v>
      </c>
      <c r="AD95" t="s">
        <v>196</v>
      </c>
      <c r="AE95" t="s">
        <v>192</v>
      </c>
    </row>
    <row r="96" spans="1:31" x14ac:dyDescent="0.3">
      <c r="A96" t="s">
        <v>391</v>
      </c>
      <c r="B96" t="s">
        <v>392</v>
      </c>
      <c r="C96" t="s">
        <v>54</v>
      </c>
      <c r="D96" t="s">
        <v>158</v>
      </c>
      <c r="E96" t="s">
        <v>53</v>
      </c>
      <c r="F96" s="9">
        <v>45886</v>
      </c>
      <c r="G96" s="9">
        <v>45824</v>
      </c>
      <c r="H96" t="s">
        <v>78</v>
      </c>
      <c r="I96" t="s">
        <v>96</v>
      </c>
      <c r="J96" t="s">
        <v>59</v>
      </c>
      <c r="K96" t="s">
        <v>54</v>
      </c>
      <c r="L96" t="s">
        <v>73</v>
      </c>
      <c r="M96" t="s">
        <v>56</v>
      </c>
      <c r="N96">
        <v>5</v>
      </c>
      <c r="O96" t="s">
        <v>64</v>
      </c>
      <c r="P96" t="s">
        <v>54</v>
      </c>
      <c r="Q96" s="9">
        <v>45828</v>
      </c>
      <c r="R96" t="s">
        <v>67</v>
      </c>
      <c r="S96">
        <v>1</v>
      </c>
      <c r="T96">
        <v>3</v>
      </c>
      <c r="U96">
        <v>4</v>
      </c>
      <c r="V96" t="s">
        <v>54</v>
      </c>
      <c r="W96">
        <v>4</v>
      </c>
      <c r="X96" t="s">
        <v>54</v>
      </c>
      <c r="Y96" t="s">
        <v>76</v>
      </c>
      <c r="Z96" t="s">
        <v>242</v>
      </c>
      <c r="AA96">
        <v>9.3000000000000007</v>
      </c>
      <c r="AB96" t="s">
        <v>79</v>
      </c>
      <c r="AC96" t="s">
        <v>180</v>
      </c>
      <c r="AD96" t="s">
        <v>201</v>
      </c>
      <c r="AE96" t="s">
        <v>237</v>
      </c>
    </row>
    <row r="97" spans="1:31" x14ac:dyDescent="0.3">
      <c r="A97" t="s">
        <v>393</v>
      </c>
      <c r="B97" t="s">
        <v>394</v>
      </c>
      <c r="C97" t="s">
        <v>54</v>
      </c>
      <c r="D97" t="s">
        <v>158</v>
      </c>
      <c r="E97" t="s">
        <v>63</v>
      </c>
      <c r="F97" s="9">
        <v>45860</v>
      </c>
      <c r="G97" s="9">
        <v>45790</v>
      </c>
      <c r="H97" t="s">
        <v>60</v>
      </c>
      <c r="I97" t="s">
        <v>89</v>
      </c>
      <c r="J97" t="s">
        <v>92</v>
      </c>
      <c r="K97" t="s">
        <v>54</v>
      </c>
      <c r="L97" t="s">
        <v>65</v>
      </c>
      <c r="M97" t="s">
        <v>66</v>
      </c>
      <c r="N97">
        <v>7</v>
      </c>
      <c r="O97" t="s">
        <v>64</v>
      </c>
      <c r="P97" t="s">
        <v>64</v>
      </c>
      <c r="Q97" s="9"/>
      <c r="R97" t="s">
        <v>190</v>
      </c>
      <c r="V97" t="s">
        <v>190</v>
      </c>
      <c r="W97">
        <v>5</v>
      </c>
      <c r="X97" t="s">
        <v>64</v>
      </c>
      <c r="Y97" t="s">
        <v>190</v>
      </c>
      <c r="Z97" t="s">
        <v>190</v>
      </c>
      <c r="AA97">
        <v>11</v>
      </c>
      <c r="AB97" t="s">
        <v>61</v>
      </c>
      <c r="AC97" t="s">
        <v>181</v>
      </c>
      <c r="AD97" t="s">
        <v>192</v>
      </c>
      <c r="AE97" t="s">
        <v>192</v>
      </c>
    </row>
    <row r="98" spans="1:31" x14ac:dyDescent="0.3">
      <c r="A98" t="s">
        <v>395</v>
      </c>
      <c r="B98" t="s">
        <v>396</v>
      </c>
      <c r="C98" t="s">
        <v>54</v>
      </c>
      <c r="D98" t="s">
        <v>158</v>
      </c>
      <c r="E98" t="s">
        <v>63</v>
      </c>
      <c r="F98" s="9">
        <v>45831</v>
      </c>
      <c r="G98" s="9">
        <v>45722</v>
      </c>
      <c r="H98" t="s">
        <v>78</v>
      </c>
      <c r="I98" t="s">
        <v>96</v>
      </c>
      <c r="J98" t="s">
        <v>94</v>
      </c>
      <c r="K98" t="s">
        <v>54</v>
      </c>
      <c r="L98" t="s">
        <v>55</v>
      </c>
      <c r="M98" t="s">
        <v>82</v>
      </c>
      <c r="N98">
        <v>4</v>
      </c>
      <c r="O98" t="s">
        <v>64</v>
      </c>
      <c r="P98" t="s">
        <v>54</v>
      </c>
      <c r="Q98" s="9">
        <v>45811</v>
      </c>
      <c r="R98" t="s">
        <v>75</v>
      </c>
      <c r="S98">
        <v>4</v>
      </c>
      <c r="T98">
        <v>3</v>
      </c>
      <c r="U98">
        <v>5</v>
      </c>
      <c r="V98" t="s">
        <v>64</v>
      </c>
      <c r="W98">
        <v>5</v>
      </c>
      <c r="X98" t="s">
        <v>64</v>
      </c>
      <c r="Y98" t="s">
        <v>190</v>
      </c>
      <c r="Z98" t="s">
        <v>190</v>
      </c>
      <c r="AA98">
        <v>19.2</v>
      </c>
      <c r="AB98" t="s">
        <v>79</v>
      </c>
      <c r="AC98" t="s">
        <v>181</v>
      </c>
      <c r="AD98" t="s">
        <v>191</v>
      </c>
      <c r="AE98" t="s">
        <v>192</v>
      </c>
    </row>
    <row r="99" spans="1:31" x14ac:dyDescent="0.3">
      <c r="A99" t="s">
        <v>397</v>
      </c>
      <c r="B99" t="s">
        <v>398</v>
      </c>
      <c r="C99" t="s">
        <v>54</v>
      </c>
      <c r="D99" t="s">
        <v>158</v>
      </c>
      <c r="E99" t="s">
        <v>53</v>
      </c>
      <c r="F99" s="9">
        <v>45813</v>
      </c>
      <c r="G99" s="9">
        <v>45688</v>
      </c>
      <c r="H99" t="s">
        <v>60</v>
      </c>
      <c r="I99" t="s">
        <v>80</v>
      </c>
      <c r="J99" t="s">
        <v>92</v>
      </c>
      <c r="K99" t="s">
        <v>54</v>
      </c>
      <c r="L99" t="s">
        <v>65</v>
      </c>
      <c r="M99" t="s">
        <v>190</v>
      </c>
      <c r="N99">
        <v>5</v>
      </c>
      <c r="O99" t="s">
        <v>54</v>
      </c>
      <c r="P99" t="s">
        <v>54</v>
      </c>
      <c r="Q99" s="9">
        <v>45699</v>
      </c>
      <c r="R99" t="s">
        <v>83</v>
      </c>
      <c r="S99">
        <v>4</v>
      </c>
      <c r="T99">
        <v>1</v>
      </c>
      <c r="U99">
        <v>1</v>
      </c>
      <c r="V99" t="s">
        <v>54</v>
      </c>
      <c r="W99">
        <v>2</v>
      </c>
      <c r="X99" t="s">
        <v>64</v>
      </c>
      <c r="Y99" t="s">
        <v>190</v>
      </c>
      <c r="Z99" t="s">
        <v>327</v>
      </c>
      <c r="AA99">
        <v>14.8</v>
      </c>
      <c r="AB99" t="s">
        <v>61</v>
      </c>
      <c r="AC99" t="s">
        <v>180</v>
      </c>
      <c r="AD99" t="s">
        <v>196</v>
      </c>
      <c r="AE99" t="s">
        <v>192</v>
      </c>
    </row>
    <row r="100" spans="1:31" x14ac:dyDescent="0.3">
      <c r="A100" t="s">
        <v>399</v>
      </c>
      <c r="B100" t="s">
        <v>400</v>
      </c>
      <c r="C100" t="s">
        <v>54</v>
      </c>
      <c r="D100" t="s">
        <v>158</v>
      </c>
      <c r="E100" t="s">
        <v>53</v>
      </c>
      <c r="F100" s="9">
        <v>45833</v>
      </c>
      <c r="G100" s="9">
        <v>45767</v>
      </c>
      <c r="H100" t="s">
        <v>70</v>
      </c>
      <c r="I100" t="s">
        <v>91</v>
      </c>
      <c r="J100" t="s">
        <v>94</v>
      </c>
      <c r="K100" t="s">
        <v>54</v>
      </c>
      <c r="L100" t="s">
        <v>81</v>
      </c>
      <c r="M100" t="s">
        <v>66</v>
      </c>
      <c r="N100">
        <v>9</v>
      </c>
      <c r="O100" t="s">
        <v>64</v>
      </c>
      <c r="P100" t="s">
        <v>64</v>
      </c>
      <c r="Q100" s="9"/>
      <c r="R100" t="s">
        <v>190</v>
      </c>
      <c r="V100" t="s">
        <v>190</v>
      </c>
      <c r="W100">
        <v>2</v>
      </c>
      <c r="X100" t="s">
        <v>64</v>
      </c>
      <c r="Y100" t="s">
        <v>190</v>
      </c>
      <c r="Z100" t="s">
        <v>190</v>
      </c>
      <c r="AA100">
        <v>12.5</v>
      </c>
      <c r="AB100" t="s">
        <v>71</v>
      </c>
      <c r="AC100" t="s">
        <v>180</v>
      </c>
      <c r="AD100" t="s">
        <v>192</v>
      </c>
      <c r="AE100" t="s">
        <v>192</v>
      </c>
    </row>
    <row r="101" spans="1:31" x14ac:dyDescent="0.3">
      <c r="A101" t="s">
        <v>401</v>
      </c>
      <c r="B101" t="s">
        <v>402</v>
      </c>
      <c r="C101" t="s">
        <v>54</v>
      </c>
      <c r="D101" t="s">
        <v>158</v>
      </c>
      <c r="E101" t="s">
        <v>53</v>
      </c>
      <c r="F101" s="9">
        <v>45767</v>
      </c>
      <c r="G101" s="9">
        <v>45644</v>
      </c>
      <c r="H101" t="s">
        <v>78</v>
      </c>
      <c r="I101" t="s">
        <v>98</v>
      </c>
      <c r="J101" t="s">
        <v>69</v>
      </c>
      <c r="K101" t="s">
        <v>54</v>
      </c>
      <c r="L101" t="s">
        <v>65</v>
      </c>
      <c r="M101" t="s">
        <v>74</v>
      </c>
      <c r="N101">
        <v>4</v>
      </c>
      <c r="O101" t="s">
        <v>64</v>
      </c>
      <c r="P101" t="s">
        <v>54</v>
      </c>
      <c r="Q101" s="9">
        <v>45748</v>
      </c>
      <c r="R101" t="s">
        <v>67</v>
      </c>
      <c r="S101">
        <v>4</v>
      </c>
      <c r="T101">
        <v>3</v>
      </c>
      <c r="U101">
        <v>4</v>
      </c>
      <c r="V101" t="s">
        <v>64</v>
      </c>
      <c r="W101">
        <v>3</v>
      </c>
      <c r="X101" t="s">
        <v>64</v>
      </c>
      <c r="Y101" t="s">
        <v>190</v>
      </c>
      <c r="Z101" t="s">
        <v>190</v>
      </c>
      <c r="AA101">
        <v>15.6</v>
      </c>
      <c r="AB101" t="s">
        <v>79</v>
      </c>
      <c r="AC101" t="s">
        <v>180</v>
      </c>
      <c r="AD101" t="s">
        <v>201</v>
      </c>
      <c r="AE101" t="s">
        <v>192</v>
      </c>
    </row>
    <row r="102" spans="1:31" x14ac:dyDescent="0.3">
      <c r="A102" t="s">
        <v>403</v>
      </c>
      <c r="B102" t="s">
        <v>404</v>
      </c>
      <c r="C102" t="s">
        <v>54</v>
      </c>
      <c r="D102" t="s">
        <v>158</v>
      </c>
      <c r="E102" t="s">
        <v>63</v>
      </c>
      <c r="F102" s="9">
        <v>45842</v>
      </c>
      <c r="G102" s="9">
        <v>45735</v>
      </c>
      <c r="H102" t="s">
        <v>78</v>
      </c>
      <c r="I102" t="s">
        <v>96</v>
      </c>
      <c r="J102" t="s">
        <v>85</v>
      </c>
      <c r="K102" t="s">
        <v>54</v>
      </c>
      <c r="L102" t="s">
        <v>65</v>
      </c>
      <c r="M102" t="s">
        <v>56</v>
      </c>
      <c r="N102">
        <v>4</v>
      </c>
      <c r="O102" t="s">
        <v>64</v>
      </c>
      <c r="P102" t="s">
        <v>54</v>
      </c>
      <c r="Q102" s="9">
        <v>45758</v>
      </c>
      <c r="R102" t="s">
        <v>83</v>
      </c>
      <c r="S102">
        <v>4</v>
      </c>
      <c r="T102">
        <v>3</v>
      </c>
      <c r="U102">
        <v>4</v>
      </c>
      <c r="V102" t="s">
        <v>54</v>
      </c>
      <c r="W102">
        <v>5</v>
      </c>
      <c r="X102" t="s">
        <v>54</v>
      </c>
      <c r="Y102" t="s">
        <v>76</v>
      </c>
      <c r="Z102" t="s">
        <v>405</v>
      </c>
      <c r="AA102">
        <v>19.899999999999999</v>
      </c>
      <c r="AB102" t="s">
        <v>79</v>
      </c>
      <c r="AC102" t="s">
        <v>181</v>
      </c>
      <c r="AD102" t="s">
        <v>196</v>
      </c>
      <c r="AE102" t="s">
        <v>237</v>
      </c>
    </row>
    <row r="103" spans="1:31" x14ac:dyDescent="0.3">
      <c r="A103" t="s">
        <v>406</v>
      </c>
      <c r="B103" t="s">
        <v>407</v>
      </c>
      <c r="C103" t="s">
        <v>54</v>
      </c>
      <c r="D103" t="s">
        <v>158</v>
      </c>
      <c r="E103" t="s">
        <v>63</v>
      </c>
      <c r="F103" s="9">
        <v>45885</v>
      </c>
      <c r="G103" s="9">
        <v>45836</v>
      </c>
      <c r="H103" t="s">
        <v>50</v>
      </c>
      <c r="I103" t="s">
        <v>72</v>
      </c>
      <c r="J103" t="s">
        <v>59</v>
      </c>
      <c r="K103" t="s">
        <v>54</v>
      </c>
      <c r="L103" t="s">
        <v>81</v>
      </c>
      <c r="M103" t="s">
        <v>56</v>
      </c>
      <c r="N103">
        <v>6</v>
      </c>
      <c r="O103" t="s">
        <v>64</v>
      </c>
      <c r="P103" t="s">
        <v>54</v>
      </c>
      <c r="Q103" s="9">
        <v>45873</v>
      </c>
      <c r="R103" t="s">
        <v>83</v>
      </c>
      <c r="S103">
        <v>3</v>
      </c>
      <c r="T103">
        <v>3</v>
      </c>
      <c r="U103">
        <v>4</v>
      </c>
      <c r="V103" t="s">
        <v>64</v>
      </c>
      <c r="W103">
        <v>4</v>
      </c>
      <c r="X103" t="s">
        <v>64</v>
      </c>
      <c r="Y103" t="s">
        <v>190</v>
      </c>
      <c r="Z103" t="s">
        <v>242</v>
      </c>
      <c r="AA103">
        <v>32.299999999999997</v>
      </c>
      <c r="AB103" t="s">
        <v>51</v>
      </c>
      <c r="AC103" t="s">
        <v>181</v>
      </c>
      <c r="AD103" t="s">
        <v>196</v>
      </c>
      <c r="AE103" t="s">
        <v>192</v>
      </c>
    </row>
    <row r="104" spans="1:31" x14ac:dyDescent="0.3">
      <c r="A104" t="s">
        <v>408</v>
      </c>
      <c r="B104" t="s">
        <v>409</v>
      </c>
      <c r="C104" t="s">
        <v>54</v>
      </c>
      <c r="D104" t="s">
        <v>158</v>
      </c>
      <c r="E104" t="s">
        <v>53</v>
      </c>
      <c r="F104" s="9">
        <v>45920</v>
      </c>
      <c r="G104" s="9">
        <v>45819</v>
      </c>
      <c r="H104" t="s">
        <v>78</v>
      </c>
      <c r="I104" t="s">
        <v>98</v>
      </c>
      <c r="J104" t="s">
        <v>59</v>
      </c>
      <c r="K104" t="s">
        <v>54</v>
      </c>
      <c r="L104" t="s">
        <v>73</v>
      </c>
      <c r="M104" t="s">
        <v>66</v>
      </c>
      <c r="N104">
        <v>7</v>
      </c>
      <c r="O104" t="s">
        <v>64</v>
      </c>
      <c r="P104" t="s">
        <v>54</v>
      </c>
      <c r="Q104" s="9">
        <v>45845</v>
      </c>
      <c r="R104" t="s">
        <v>57</v>
      </c>
      <c r="S104">
        <v>5</v>
      </c>
      <c r="T104">
        <v>4</v>
      </c>
      <c r="U104">
        <v>5</v>
      </c>
      <c r="V104" t="s">
        <v>54</v>
      </c>
      <c r="W104">
        <v>2</v>
      </c>
      <c r="X104" t="s">
        <v>64</v>
      </c>
      <c r="Y104" t="s">
        <v>190</v>
      </c>
      <c r="Z104" t="s">
        <v>195</v>
      </c>
      <c r="AA104">
        <v>20.3</v>
      </c>
      <c r="AB104" t="s">
        <v>79</v>
      </c>
      <c r="AC104" t="s">
        <v>180</v>
      </c>
      <c r="AD104" t="s">
        <v>207</v>
      </c>
      <c r="AE104" t="s">
        <v>192</v>
      </c>
    </row>
    <row r="105" spans="1:31" x14ac:dyDescent="0.3">
      <c r="A105" t="s">
        <v>410</v>
      </c>
      <c r="B105" t="s">
        <v>411</v>
      </c>
      <c r="C105" t="s">
        <v>54</v>
      </c>
      <c r="D105" t="s">
        <v>158</v>
      </c>
      <c r="E105" t="s">
        <v>63</v>
      </c>
      <c r="F105" s="9">
        <v>45894</v>
      </c>
      <c r="G105" s="9">
        <v>45763</v>
      </c>
      <c r="H105" t="s">
        <v>70</v>
      </c>
      <c r="I105" t="s">
        <v>91</v>
      </c>
      <c r="J105" t="s">
        <v>77</v>
      </c>
      <c r="K105" t="s">
        <v>54</v>
      </c>
      <c r="L105" t="s">
        <v>65</v>
      </c>
      <c r="M105" t="s">
        <v>66</v>
      </c>
      <c r="N105">
        <v>6</v>
      </c>
      <c r="O105" t="s">
        <v>64</v>
      </c>
      <c r="P105" t="s">
        <v>54</v>
      </c>
      <c r="Q105" s="9">
        <v>45872</v>
      </c>
      <c r="R105" t="s">
        <v>75</v>
      </c>
      <c r="S105">
        <v>4</v>
      </c>
      <c r="T105">
        <v>4</v>
      </c>
      <c r="U105">
        <v>5</v>
      </c>
      <c r="V105" t="s">
        <v>64</v>
      </c>
      <c r="W105">
        <v>3</v>
      </c>
      <c r="X105" t="s">
        <v>64</v>
      </c>
      <c r="Y105" t="s">
        <v>190</v>
      </c>
      <c r="Z105" t="s">
        <v>190</v>
      </c>
      <c r="AA105">
        <v>20.9</v>
      </c>
      <c r="AB105" t="s">
        <v>71</v>
      </c>
      <c r="AC105" t="s">
        <v>181</v>
      </c>
      <c r="AD105" t="s">
        <v>191</v>
      </c>
      <c r="AE105" t="s">
        <v>192</v>
      </c>
    </row>
    <row r="106" spans="1:31" x14ac:dyDescent="0.3">
      <c r="A106" t="s">
        <v>412</v>
      </c>
      <c r="B106" t="s">
        <v>413</v>
      </c>
      <c r="C106" t="s">
        <v>54</v>
      </c>
      <c r="D106" t="s">
        <v>158</v>
      </c>
      <c r="E106" t="s">
        <v>53</v>
      </c>
      <c r="F106" s="9">
        <v>45758</v>
      </c>
      <c r="G106" s="9">
        <v>45683</v>
      </c>
      <c r="H106" t="s">
        <v>78</v>
      </c>
      <c r="I106" t="s">
        <v>98</v>
      </c>
      <c r="J106" t="s">
        <v>69</v>
      </c>
      <c r="K106" t="s">
        <v>54</v>
      </c>
      <c r="L106" t="s">
        <v>65</v>
      </c>
      <c r="M106" t="s">
        <v>66</v>
      </c>
      <c r="N106">
        <v>3</v>
      </c>
      <c r="O106" t="s">
        <v>64</v>
      </c>
      <c r="P106" t="s">
        <v>54</v>
      </c>
      <c r="Q106" s="9">
        <v>45750</v>
      </c>
      <c r="R106" t="s">
        <v>83</v>
      </c>
      <c r="S106">
        <v>5</v>
      </c>
      <c r="T106">
        <v>4</v>
      </c>
      <c r="U106">
        <v>5</v>
      </c>
      <c r="V106" t="s">
        <v>54</v>
      </c>
      <c r="W106">
        <v>3</v>
      </c>
      <c r="X106" t="s">
        <v>64</v>
      </c>
      <c r="Y106" t="s">
        <v>190</v>
      </c>
      <c r="Z106" t="s">
        <v>190</v>
      </c>
      <c r="AA106">
        <v>18.899999999999999</v>
      </c>
      <c r="AB106" t="s">
        <v>79</v>
      </c>
      <c r="AC106" t="s">
        <v>180</v>
      </c>
      <c r="AD106" t="s">
        <v>196</v>
      </c>
      <c r="AE106" t="s">
        <v>192</v>
      </c>
    </row>
    <row r="107" spans="1:31" x14ac:dyDescent="0.3">
      <c r="A107" t="s">
        <v>414</v>
      </c>
      <c r="B107" t="s">
        <v>415</v>
      </c>
      <c r="C107" t="s">
        <v>54</v>
      </c>
      <c r="D107" t="s">
        <v>158</v>
      </c>
      <c r="E107" t="s">
        <v>63</v>
      </c>
      <c r="F107" s="9">
        <v>45841</v>
      </c>
      <c r="G107" s="9">
        <v>45785</v>
      </c>
      <c r="H107" t="s">
        <v>70</v>
      </c>
      <c r="I107" t="s">
        <v>93</v>
      </c>
      <c r="J107" t="s">
        <v>88</v>
      </c>
      <c r="K107" t="s">
        <v>54</v>
      </c>
      <c r="L107" t="s">
        <v>65</v>
      </c>
      <c r="M107" t="s">
        <v>56</v>
      </c>
      <c r="N107">
        <v>4</v>
      </c>
      <c r="O107" t="s">
        <v>64</v>
      </c>
      <c r="P107" t="s">
        <v>54</v>
      </c>
      <c r="Q107" s="9">
        <v>45814</v>
      </c>
      <c r="R107" t="s">
        <v>75</v>
      </c>
      <c r="S107">
        <v>3</v>
      </c>
      <c r="T107">
        <v>4</v>
      </c>
      <c r="U107">
        <v>5</v>
      </c>
      <c r="V107" t="s">
        <v>64</v>
      </c>
      <c r="W107">
        <v>2</v>
      </c>
      <c r="X107" t="s">
        <v>64</v>
      </c>
      <c r="Y107" t="s">
        <v>190</v>
      </c>
      <c r="Z107" t="s">
        <v>190</v>
      </c>
      <c r="AA107">
        <v>10.7</v>
      </c>
      <c r="AB107" t="s">
        <v>71</v>
      </c>
      <c r="AC107" t="s">
        <v>181</v>
      </c>
      <c r="AD107" t="s">
        <v>191</v>
      </c>
      <c r="AE107" t="s">
        <v>192</v>
      </c>
    </row>
    <row r="108" spans="1:31" x14ac:dyDescent="0.3">
      <c r="A108" t="s">
        <v>416</v>
      </c>
      <c r="B108" t="s">
        <v>417</v>
      </c>
      <c r="C108" t="s">
        <v>54</v>
      </c>
      <c r="D108" t="s">
        <v>158</v>
      </c>
      <c r="E108" t="s">
        <v>53</v>
      </c>
      <c r="F108" s="9">
        <v>45864</v>
      </c>
      <c r="G108" s="9">
        <v>45786</v>
      </c>
      <c r="H108" t="s">
        <v>78</v>
      </c>
      <c r="I108" t="s">
        <v>98</v>
      </c>
      <c r="J108" t="s">
        <v>88</v>
      </c>
      <c r="K108" t="s">
        <v>54</v>
      </c>
      <c r="L108" t="s">
        <v>65</v>
      </c>
      <c r="M108" t="s">
        <v>74</v>
      </c>
      <c r="N108">
        <v>8</v>
      </c>
      <c r="O108" t="s">
        <v>64</v>
      </c>
      <c r="P108" t="s">
        <v>54</v>
      </c>
      <c r="Q108" s="9">
        <v>45817</v>
      </c>
      <c r="R108" t="s">
        <v>67</v>
      </c>
      <c r="S108">
        <v>5</v>
      </c>
      <c r="T108">
        <v>3</v>
      </c>
      <c r="U108">
        <v>4</v>
      </c>
      <c r="V108" t="s">
        <v>64</v>
      </c>
      <c r="W108">
        <v>1</v>
      </c>
      <c r="X108" t="s">
        <v>64</v>
      </c>
      <c r="Y108" t="s">
        <v>190</v>
      </c>
      <c r="Z108" t="s">
        <v>190</v>
      </c>
      <c r="AA108">
        <v>17.8</v>
      </c>
      <c r="AB108" t="s">
        <v>79</v>
      </c>
      <c r="AC108" t="s">
        <v>180</v>
      </c>
      <c r="AD108" t="s">
        <v>201</v>
      </c>
      <c r="AE108" t="s">
        <v>192</v>
      </c>
    </row>
    <row r="109" spans="1:31" x14ac:dyDescent="0.3">
      <c r="A109" t="s">
        <v>418</v>
      </c>
      <c r="B109" t="s">
        <v>419</v>
      </c>
      <c r="C109" t="s">
        <v>54</v>
      </c>
      <c r="D109" t="s">
        <v>158</v>
      </c>
      <c r="E109" t="s">
        <v>63</v>
      </c>
      <c r="F109" s="9">
        <v>45898</v>
      </c>
      <c r="G109" s="9">
        <v>45817</v>
      </c>
      <c r="H109" t="s">
        <v>78</v>
      </c>
      <c r="I109" t="s">
        <v>97</v>
      </c>
      <c r="J109" t="s">
        <v>90</v>
      </c>
      <c r="K109" t="s">
        <v>54</v>
      </c>
      <c r="L109" t="s">
        <v>65</v>
      </c>
      <c r="M109" t="s">
        <v>56</v>
      </c>
      <c r="N109">
        <v>7</v>
      </c>
      <c r="O109" t="s">
        <v>54</v>
      </c>
      <c r="P109" t="s">
        <v>54</v>
      </c>
      <c r="Q109" s="9">
        <v>45826</v>
      </c>
      <c r="R109" t="s">
        <v>67</v>
      </c>
      <c r="S109">
        <v>1</v>
      </c>
      <c r="T109">
        <v>3</v>
      </c>
      <c r="U109">
        <v>3</v>
      </c>
      <c r="V109" t="s">
        <v>64</v>
      </c>
      <c r="W109">
        <v>5</v>
      </c>
      <c r="X109" t="s">
        <v>64</v>
      </c>
      <c r="Y109" t="s">
        <v>190</v>
      </c>
      <c r="Z109" t="s">
        <v>190</v>
      </c>
      <c r="AA109">
        <v>18.100000000000001</v>
      </c>
      <c r="AB109" t="s">
        <v>79</v>
      </c>
      <c r="AC109" t="s">
        <v>181</v>
      </c>
      <c r="AD109" t="s">
        <v>201</v>
      </c>
      <c r="AE109" t="s">
        <v>192</v>
      </c>
    </row>
    <row r="110" spans="1:31" x14ac:dyDescent="0.3">
      <c r="A110" t="s">
        <v>420</v>
      </c>
      <c r="B110" t="s">
        <v>421</v>
      </c>
      <c r="C110" t="s">
        <v>54</v>
      </c>
      <c r="D110" t="s">
        <v>158</v>
      </c>
      <c r="E110" t="s">
        <v>63</v>
      </c>
      <c r="F110" s="9">
        <v>45775</v>
      </c>
      <c r="G110" s="9">
        <v>45651</v>
      </c>
      <c r="H110" t="s">
        <v>70</v>
      </c>
      <c r="I110" t="s">
        <v>93</v>
      </c>
      <c r="J110" t="s">
        <v>92</v>
      </c>
      <c r="K110" t="s">
        <v>54</v>
      </c>
      <c r="L110" t="s">
        <v>65</v>
      </c>
      <c r="M110" t="s">
        <v>56</v>
      </c>
      <c r="N110">
        <v>3</v>
      </c>
      <c r="O110" t="s">
        <v>64</v>
      </c>
      <c r="P110" t="s">
        <v>54</v>
      </c>
      <c r="Q110" s="9">
        <v>45715</v>
      </c>
      <c r="R110" t="s">
        <v>57</v>
      </c>
      <c r="S110">
        <v>4</v>
      </c>
      <c r="T110">
        <v>3</v>
      </c>
      <c r="U110">
        <v>5</v>
      </c>
      <c r="V110" t="s">
        <v>64</v>
      </c>
      <c r="W110">
        <v>4</v>
      </c>
      <c r="X110" t="s">
        <v>64</v>
      </c>
      <c r="Y110" t="s">
        <v>190</v>
      </c>
      <c r="Z110" t="s">
        <v>190</v>
      </c>
      <c r="AA110">
        <v>21.1</v>
      </c>
      <c r="AB110" t="s">
        <v>71</v>
      </c>
      <c r="AC110" t="s">
        <v>181</v>
      </c>
      <c r="AD110" t="s">
        <v>207</v>
      </c>
      <c r="AE110" t="s">
        <v>192</v>
      </c>
    </row>
    <row r="111" spans="1:31" x14ac:dyDescent="0.3">
      <c r="A111" t="s">
        <v>422</v>
      </c>
      <c r="B111" t="s">
        <v>423</v>
      </c>
      <c r="C111" t="s">
        <v>54</v>
      </c>
      <c r="D111" t="s">
        <v>158</v>
      </c>
      <c r="E111" t="s">
        <v>53</v>
      </c>
      <c r="F111" s="9">
        <v>45791</v>
      </c>
      <c r="G111" s="9">
        <v>45699</v>
      </c>
      <c r="H111" t="s">
        <v>70</v>
      </c>
      <c r="I111" t="s">
        <v>93</v>
      </c>
      <c r="J111" t="s">
        <v>85</v>
      </c>
      <c r="K111" t="s">
        <v>54</v>
      </c>
      <c r="L111" t="s">
        <v>73</v>
      </c>
      <c r="M111" t="s">
        <v>56</v>
      </c>
      <c r="N111">
        <v>6</v>
      </c>
      <c r="O111" t="s">
        <v>64</v>
      </c>
      <c r="P111" t="s">
        <v>54</v>
      </c>
      <c r="Q111" s="9">
        <v>45708</v>
      </c>
      <c r="R111" t="s">
        <v>83</v>
      </c>
      <c r="S111">
        <v>4</v>
      </c>
      <c r="T111">
        <v>4</v>
      </c>
      <c r="U111">
        <v>5</v>
      </c>
      <c r="V111" t="s">
        <v>64</v>
      </c>
      <c r="W111">
        <v>1</v>
      </c>
      <c r="X111" t="s">
        <v>64</v>
      </c>
      <c r="Y111" t="s">
        <v>190</v>
      </c>
      <c r="Z111" t="s">
        <v>190</v>
      </c>
      <c r="AA111">
        <v>28.1</v>
      </c>
      <c r="AB111" t="s">
        <v>71</v>
      </c>
      <c r="AC111" t="s">
        <v>180</v>
      </c>
      <c r="AD111" t="s">
        <v>196</v>
      </c>
      <c r="AE111" t="s">
        <v>192</v>
      </c>
    </row>
    <row r="112" spans="1:31" x14ac:dyDescent="0.3">
      <c r="A112" t="s">
        <v>424</v>
      </c>
      <c r="B112" t="s">
        <v>425</v>
      </c>
      <c r="C112" t="s">
        <v>54</v>
      </c>
      <c r="D112" t="s">
        <v>158</v>
      </c>
      <c r="E112" t="s">
        <v>53</v>
      </c>
      <c r="F112" s="9">
        <v>45830</v>
      </c>
      <c r="G112" s="9">
        <v>45713</v>
      </c>
      <c r="H112" t="s">
        <v>70</v>
      </c>
      <c r="I112" t="s">
        <v>91</v>
      </c>
      <c r="J112" t="s">
        <v>69</v>
      </c>
      <c r="K112" t="s">
        <v>54</v>
      </c>
      <c r="L112" t="s">
        <v>55</v>
      </c>
      <c r="M112" t="s">
        <v>66</v>
      </c>
      <c r="N112">
        <v>4</v>
      </c>
      <c r="O112" t="s">
        <v>64</v>
      </c>
      <c r="P112" t="s">
        <v>54</v>
      </c>
      <c r="Q112" s="9">
        <v>45714</v>
      </c>
      <c r="R112" t="s">
        <v>67</v>
      </c>
      <c r="S112">
        <v>5</v>
      </c>
      <c r="T112">
        <v>1</v>
      </c>
      <c r="U112">
        <v>1</v>
      </c>
      <c r="V112" t="s">
        <v>54</v>
      </c>
      <c r="W112">
        <v>2</v>
      </c>
      <c r="X112" t="s">
        <v>64</v>
      </c>
      <c r="Y112" t="s">
        <v>190</v>
      </c>
      <c r="Z112" t="s">
        <v>190</v>
      </c>
      <c r="AA112">
        <v>13.9</v>
      </c>
      <c r="AB112" t="s">
        <v>71</v>
      </c>
      <c r="AC112" t="s">
        <v>180</v>
      </c>
      <c r="AD112" t="s">
        <v>201</v>
      </c>
      <c r="AE112" t="s">
        <v>192</v>
      </c>
    </row>
    <row r="113" spans="1:31" x14ac:dyDescent="0.3">
      <c r="A113" t="s">
        <v>426</v>
      </c>
      <c r="B113" t="s">
        <v>427</v>
      </c>
      <c r="C113" t="s">
        <v>54</v>
      </c>
      <c r="D113" t="s">
        <v>158</v>
      </c>
      <c r="E113" t="s">
        <v>53</v>
      </c>
      <c r="F113" s="9">
        <v>45857</v>
      </c>
      <c r="G113" s="9">
        <v>45803</v>
      </c>
      <c r="H113" t="s">
        <v>78</v>
      </c>
      <c r="I113" t="s">
        <v>97</v>
      </c>
      <c r="J113" t="s">
        <v>90</v>
      </c>
      <c r="K113" t="s">
        <v>54</v>
      </c>
      <c r="L113" t="s">
        <v>87</v>
      </c>
      <c r="M113" t="s">
        <v>66</v>
      </c>
      <c r="N113">
        <v>5</v>
      </c>
      <c r="O113" t="s">
        <v>64</v>
      </c>
      <c r="P113" t="s">
        <v>64</v>
      </c>
      <c r="Q113" s="9"/>
      <c r="R113" t="s">
        <v>190</v>
      </c>
      <c r="V113" t="s">
        <v>190</v>
      </c>
      <c r="W113">
        <v>4</v>
      </c>
      <c r="X113" t="s">
        <v>64</v>
      </c>
      <c r="Y113" t="s">
        <v>190</v>
      </c>
      <c r="Z113" t="s">
        <v>190</v>
      </c>
      <c r="AA113">
        <v>27.2</v>
      </c>
      <c r="AB113" t="s">
        <v>79</v>
      </c>
      <c r="AC113" t="s">
        <v>180</v>
      </c>
      <c r="AD113" t="s">
        <v>192</v>
      </c>
      <c r="AE113" t="s">
        <v>192</v>
      </c>
    </row>
    <row r="114" spans="1:31" x14ac:dyDescent="0.3">
      <c r="A114" t="s">
        <v>428</v>
      </c>
      <c r="B114" t="s">
        <v>429</v>
      </c>
      <c r="C114" t="s">
        <v>54</v>
      </c>
      <c r="D114" t="s">
        <v>158</v>
      </c>
      <c r="E114" t="s">
        <v>63</v>
      </c>
      <c r="F114" s="9">
        <v>45916</v>
      </c>
      <c r="G114" s="9">
        <v>45791</v>
      </c>
      <c r="H114" t="s">
        <v>60</v>
      </c>
      <c r="I114" t="s">
        <v>80</v>
      </c>
      <c r="J114" t="s">
        <v>85</v>
      </c>
      <c r="K114" t="s">
        <v>54</v>
      </c>
      <c r="L114" t="s">
        <v>65</v>
      </c>
      <c r="M114" t="s">
        <v>66</v>
      </c>
      <c r="N114">
        <v>3</v>
      </c>
      <c r="O114" t="s">
        <v>64</v>
      </c>
      <c r="P114" t="s">
        <v>64</v>
      </c>
      <c r="Q114" s="9"/>
      <c r="R114" t="s">
        <v>190</v>
      </c>
      <c r="V114" t="s">
        <v>190</v>
      </c>
      <c r="W114">
        <v>3</v>
      </c>
      <c r="X114" t="s">
        <v>64</v>
      </c>
      <c r="Y114" t="s">
        <v>190</v>
      </c>
      <c r="Z114" t="s">
        <v>190</v>
      </c>
      <c r="AA114">
        <v>14.6</v>
      </c>
      <c r="AB114" t="s">
        <v>61</v>
      </c>
      <c r="AC114" t="s">
        <v>181</v>
      </c>
      <c r="AD114" t="s">
        <v>192</v>
      </c>
      <c r="AE114" t="s">
        <v>192</v>
      </c>
    </row>
    <row r="115" spans="1:31" x14ac:dyDescent="0.3">
      <c r="A115" t="s">
        <v>430</v>
      </c>
      <c r="B115" t="s">
        <v>431</v>
      </c>
      <c r="C115" t="s">
        <v>54</v>
      </c>
      <c r="D115" t="s">
        <v>158</v>
      </c>
      <c r="E115" t="s">
        <v>53</v>
      </c>
      <c r="F115" s="9">
        <v>45757</v>
      </c>
      <c r="G115" s="9">
        <v>45685</v>
      </c>
      <c r="H115" t="s">
        <v>50</v>
      </c>
      <c r="I115" t="s">
        <v>62</v>
      </c>
      <c r="J115" t="s">
        <v>92</v>
      </c>
      <c r="K115" t="s">
        <v>54</v>
      </c>
      <c r="L115" t="s">
        <v>65</v>
      </c>
      <c r="M115" t="s">
        <v>66</v>
      </c>
      <c r="N115">
        <v>3</v>
      </c>
      <c r="O115" t="s">
        <v>64</v>
      </c>
      <c r="P115" t="s">
        <v>54</v>
      </c>
      <c r="Q115" s="9">
        <v>45752</v>
      </c>
      <c r="R115" t="s">
        <v>75</v>
      </c>
      <c r="S115">
        <v>3</v>
      </c>
      <c r="T115">
        <v>3</v>
      </c>
      <c r="U115">
        <v>5</v>
      </c>
      <c r="V115" t="s">
        <v>64</v>
      </c>
      <c r="W115">
        <v>4</v>
      </c>
      <c r="X115" t="s">
        <v>64</v>
      </c>
      <c r="Y115" t="s">
        <v>190</v>
      </c>
      <c r="Z115" t="s">
        <v>432</v>
      </c>
      <c r="AA115">
        <v>21.7</v>
      </c>
      <c r="AB115" t="s">
        <v>51</v>
      </c>
      <c r="AC115" t="s">
        <v>180</v>
      </c>
      <c r="AD115" t="s">
        <v>191</v>
      </c>
      <c r="AE115" t="s">
        <v>192</v>
      </c>
    </row>
    <row r="116" spans="1:31" x14ac:dyDescent="0.3">
      <c r="A116" t="s">
        <v>433</v>
      </c>
      <c r="B116" t="s">
        <v>434</v>
      </c>
      <c r="C116" t="s">
        <v>54</v>
      </c>
      <c r="D116" t="s">
        <v>158</v>
      </c>
      <c r="E116" t="s">
        <v>63</v>
      </c>
      <c r="F116" s="9">
        <v>45793</v>
      </c>
      <c r="G116" s="9">
        <v>45745</v>
      </c>
      <c r="H116" t="s">
        <v>70</v>
      </c>
      <c r="I116" t="s">
        <v>91</v>
      </c>
      <c r="J116" t="s">
        <v>90</v>
      </c>
      <c r="K116" t="s">
        <v>54</v>
      </c>
      <c r="L116" t="s">
        <v>87</v>
      </c>
      <c r="M116" t="s">
        <v>56</v>
      </c>
      <c r="N116">
        <v>5</v>
      </c>
      <c r="O116" t="s">
        <v>54</v>
      </c>
      <c r="P116" t="s">
        <v>54</v>
      </c>
      <c r="Q116" s="9">
        <v>45746</v>
      </c>
      <c r="R116" t="s">
        <v>75</v>
      </c>
      <c r="S116">
        <v>4</v>
      </c>
      <c r="T116">
        <v>3</v>
      </c>
      <c r="U116">
        <v>3</v>
      </c>
      <c r="V116" t="s">
        <v>54</v>
      </c>
      <c r="W116">
        <v>4</v>
      </c>
      <c r="X116" t="s">
        <v>64</v>
      </c>
      <c r="Y116" t="s">
        <v>190</v>
      </c>
      <c r="Z116" t="s">
        <v>190</v>
      </c>
      <c r="AA116">
        <v>13.7</v>
      </c>
      <c r="AB116" t="s">
        <v>71</v>
      </c>
      <c r="AC116" t="s">
        <v>181</v>
      </c>
      <c r="AD116" t="s">
        <v>191</v>
      </c>
      <c r="AE116" t="s">
        <v>192</v>
      </c>
    </row>
    <row r="117" spans="1:31" x14ac:dyDescent="0.3">
      <c r="A117" t="s">
        <v>435</v>
      </c>
      <c r="B117" t="s">
        <v>436</v>
      </c>
      <c r="C117" t="s">
        <v>54</v>
      </c>
      <c r="D117" t="s">
        <v>158</v>
      </c>
      <c r="E117" t="s">
        <v>53</v>
      </c>
      <c r="F117" s="9">
        <v>45763</v>
      </c>
      <c r="G117" s="9">
        <v>45640</v>
      </c>
      <c r="H117" t="s">
        <v>50</v>
      </c>
      <c r="I117" t="s">
        <v>72</v>
      </c>
      <c r="J117" t="s">
        <v>85</v>
      </c>
      <c r="K117" t="s">
        <v>54</v>
      </c>
      <c r="L117" t="s">
        <v>73</v>
      </c>
      <c r="M117" t="s">
        <v>56</v>
      </c>
      <c r="N117">
        <v>5</v>
      </c>
      <c r="O117" t="s">
        <v>64</v>
      </c>
      <c r="P117" t="s">
        <v>54</v>
      </c>
      <c r="Q117" s="9">
        <v>45699</v>
      </c>
      <c r="R117" t="s">
        <v>67</v>
      </c>
      <c r="S117">
        <v>4</v>
      </c>
      <c r="T117">
        <v>3</v>
      </c>
      <c r="U117">
        <v>5</v>
      </c>
      <c r="V117" t="s">
        <v>54</v>
      </c>
      <c r="W117">
        <v>3</v>
      </c>
      <c r="X117" t="s">
        <v>64</v>
      </c>
      <c r="Y117" t="s">
        <v>190</v>
      </c>
      <c r="Z117" t="s">
        <v>190</v>
      </c>
      <c r="AA117">
        <v>10</v>
      </c>
      <c r="AB117" t="s">
        <v>51</v>
      </c>
      <c r="AC117" t="s">
        <v>180</v>
      </c>
      <c r="AD117" t="s">
        <v>201</v>
      </c>
      <c r="AE117" t="s">
        <v>192</v>
      </c>
    </row>
    <row r="118" spans="1:31" x14ac:dyDescent="0.3">
      <c r="A118" t="s">
        <v>437</v>
      </c>
      <c r="B118" t="s">
        <v>438</v>
      </c>
      <c r="C118" t="s">
        <v>54</v>
      </c>
      <c r="D118" t="s">
        <v>158</v>
      </c>
      <c r="E118" t="s">
        <v>53</v>
      </c>
      <c r="F118" s="9">
        <v>45834</v>
      </c>
      <c r="G118" s="9">
        <v>45780</v>
      </c>
      <c r="H118" t="s">
        <v>78</v>
      </c>
      <c r="I118" t="s">
        <v>96</v>
      </c>
      <c r="J118" t="s">
        <v>94</v>
      </c>
      <c r="K118" t="s">
        <v>54</v>
      </c>
      <c r="L118" t="s">
        <v>87</v>
      </c>
      <c r="M118" t="s">
        <v>56</v>
      </c>
      <c r="N118">
        <v>6</v>
      </c>
      <c r="O118" t="s">
        <v>64</v>
      </c>
      <c r="P118" t="s">
        <v>54</v>
      </c>
      <c r="Q118" s="9">
        <v>45814</v>
      </c>
      <c r="R118" t="s">
        <v>57</v>
      </c>
      <c r="S118">
        <v>3</v>
      </c>
      <c r="T118">
        <v>4</v>
      </c>
      <c r="U118">
        <v>5</v>
      </c>
      <c r="V118" t="s">
        <v>54</v>
      </c>
      <c r="W118">
        <v>5</v>
      </c>
      <c r="X118" t="s">
        <v>64</v>
      </c>
      <c r="Y118" t="s">
        <v>190</v>
      </c>
      <c r="Z118" t="s">
        <v>190</v>
      </c>
      <c r="AA118">
        <v>23</v>
      </c>
      <c r="AB118" t="s">
        <v>79</v>
      </c>
      <c r="AC118" t="s">
        <v>180</v>
      </c>
      <c r="AD118" t="s">
        <v>207</v>
      </c>
      <c r="AE118" t="s">
        <v>192</v>
      </c>
    </row>
    <row r="119" spans="1:31" x14ac:dyDescent="0.3">
      <c r="A119" t="s">
        <v>439</v>
      </c>
      <c r="B119" t="s">
        <v>440</v>
      </c>
      <c r="C119" t="s">
        <v>54</v>
      </c>
      <c r="D119" t="s">
        <v>158</v>
      </c>
      <c r="E119" t="s">
        <v>63</v>
      </c>
      <c r="F119" s="9">
        <v>45761</v>
      </c>
      <c r="G119" s="9">
        <v>45640</v>
      </c>
      <c r="H119" t="s">
        <v>50</v>
      </c>
      <c r="I119" t="s">
        <v>72</v>
      </c>
      <c r="J119" t="s">
        <v>77</v>
      </c>
      <c r="K119" t="s">
        <v>54</v>
      </c>
      <c r="L119" t="s">
        <v>65</v>
      </c>
      <c r="M119" t="s">
        <v>66</v>
      </c>
      <c r="N119">
        <v>5</v>
      </c>
      <c r="O119" t="s">
        <v>64</v>
      </c>
      <c r="P119" t="s">
        <v>54</v>
      </c>
      <c r="Q119" s="9">
        <v>45708</v>
      </c>
      <c r="R119" t="s">
        <v>67</v>
      </c>
      <c r="S119">
        <v>4</v>
      </c>
      <c r="T119">
        <v>3</v>
      </c>
      <c r="U119">
        <v>3</v>
      </c>
      <c r="V119" t="s">
        <v>54</v>
      </c>
      <c r="W119">
        <v>3</v>
      </c>
      <c r="X119" t="s">
        <v>54</v>
      </c>
      <c r="Y119" t="s">
        <v>68</v>
      </c>
      <c r="Z119" t="s">
        <v>190</v>
      </c>
      <c r="AA119">
        <v>10.8</v>
      </c>
      <c r="AB119" t="s">
        <v>51</v>
      </c>
      <c r="AC119" t="s">
        <v>181</v>
      </c>
      <c r="AD119" t="s">
        <v>201</v>
      </c>
      <c r="AE119" t="s">
        <v>243</v>
      </c>
    </row>
    <row r="120" spans="1:31" x14ac:dyDescent="0.3">
      <c r="A120" t="s">
        <v>441</v>
      </c>
      <c r="B120" t="s">
        <v>236</v>
      </c>
      <c r="C120" t="s">
        <v>54</v>
      </c>
      <c r="D120" t="s">
        <v>158</v>
      </c>
      <c r="E120" t="s">
        <v>53</v>
      </c>
      <c r="F120" s="9">
        <v>45885</v>
      </c>
      <c r="G120" s="9">
        <v>45852</v>
      </c>
      <c r="H120" t="s">
        <v>78</v>
      </c>
      <c r="I120" t="s">
        <v>97</v>
      </c>
      <c r="J120" t="s">
        <v>85</v>
      </c>
      <c r="K120" t="s">
        <v>54</v>
      </c>
      <c r="L120" t="s">
        <v>55</v>
      </c>
      <c r="M120" t="s">
        <v>66</v>
      </c>
      <c r="N120">
        <v>4</v>
      </c>
      <c r="O120" t="s">
        <v>54</v>
      </c>
      <c r="P120" t="s">
        <v>54</v>
      </c>
      <c r="Q120" s="9">
        <v>45860</v>
      </c>
      <c r="R120" t="s">
        <v>57</v>
      </c>
      <c r="S120">
        <v>3</v>
      </c>
      <c r="T120">
        <v>1</v>
      </c>
      <c r="U120">
        <v>3</v>
      </c>
      <c r="V120" t="s">
        <v>64</v>
      </c>
      <c r="W120">
        <v>5</v>
      </c>
      <c r="X120" t="s">
        <v>54</v>
      </c>
      <c r="Y120" t="s">
        <v>76</v>
      </c>
      <c r="Z120" t="s">
        <v>190</v>
      </c>
      <c r="AA120">
        <v>6.3</v>
      </c>
      <c r="AB120" t="s">
        <v>79</v>
      </c>
      <c r="AC120" t="s">
        <v>180</v>
      </c>
      <c r="AD120" t="s">
        <v>207</v>
      </c>
      <c r="AE120" t="s">
        <v>237</v>
      </c>
    </row>
    <row r="121" spans="1:31" x14ac:dyDescent="0.3">
      <c r="A121" t="s">
        <v>442</v>
      </c>
      <c r="B121" t="s">
        <v>443</v>
      </c>
      <c r="C121" t="s">
        <v>54</v>
      </c>
      <c r="D121" t="s">
        <v>158</v>
      </c>
      <c r="E121" t="s">
        <v>63</v>
      </c>
      <c r="F121" s="9">
        <v>45897</v>
      </c>
      <c r="G121" s="9">
        <v>45841</v>
      </c>
      <c r="H121" t="s">
        <v>78</v>
      </c>
      <c r="I121" t="s">
        <v>96</v>
      </c>
      <c r="J121" t="s">
        <v>94</v>
      </c>
      <c r="K121" t="s">
        <v>54</v>
      </c>
      <c r="L121" t="s">
        <v>65</v>
      </c>
      <c r="M121" t="s">
        <v>66</v>
      </c>
      <c r="N121">
        <v>7</v>
      </c>
      <c r="O121" t="s">
        <v>64</v>
      </c>
      <c r="P121" t="s">
        <v>54</v>
      </c>
      <c r="Q121" s="9">
        <v>45878</v>
      </c>
      <c r="R121" t="s">
        <v>83</v>
      </c>
      <c r="S121">
        <v>5</v>
      </c>
      <c r="T121">
        <v>2</v>
      </c>
      <c r="U121">
        <v>4</v>
      </c>
      <c r="V121" t="s">
        <v>54</v>
      </c>
      <c r="W121">
        <v>4</v>
      </c>
      <c r="X121" t="s">
        <v>64</v>
      </c>
      <c r="Y121" t="s">
        <v>190</v>
      </c>
      <c r="Z121" t="s">
        <v>206</v>
      </c>
      <c r="AA121">
        <v>31.8</v>
      </c>
      <c r="AB121" t="s">
        <v>79</v>
      </c>
      <c r="AC121" t="s">
        <v>181</v>
      </c>
      <c r="AD121" t="s">
        <v>196</v>
      </c>
      <c r="AE121" t="s">
        <v>192</v>
      </c>
    </row>
    <row r="122" spans="1:31" x14ac:dyDescent="0.3">
      <c r="A122" t="s">
        <v>444</v>
      </c>
      <c r="B122" t="s">
        <v>445</v>
      </c>
      <c r="C122" t="s">
        <v>54</v>
      </c>
      <c r="D122" t="s">
        <v>158</v>
      </c>
      <c r="E122" t="s">
        <v>53</v>
      </c>
      <c r="F122" s="9">
        <v>45861</v>
      </c>
      <c r="G122" s="9">
        <v>45744</v>
      </c>
      <c r="H122" t="s">
        <v>78</v>
      </c>
      <c r="I122" t="s">
        <v>96</v>
      </c>
      <c r="J122" t="s">
        <v>90</v>
      </c>
      <c r="K122" t="s">
        <v>54</v>
      </c>
      <c r="L122" t="s">
        <v>73</v>
      </c>
      <c r="M122" t="s">
        <v>66</v>
      </c>
      <c r="N122">
        <v>2</v>
      </c>
      <c r="O122" t="s">
        <v>64</v>
      </c>
      <c r="P122" t="s">
        <v>54</v>
      </c>
      <c r="Q122" s="9">
        <v>45772</v>
      </c>
      <c r="R122" t="s">
        <v>67</v>
      </c>
      <c r="S122">
        <v>4</v>
      </c>
      <c r="T122">
        <v>3</v>
      </c>
      <c r="U122">
        <v>5</v>
      </c>
      <c r="V122" t="s">
        <v>54</v>
      </c>
      <c r="W122">
        <v>4</v>
      </c>
      <c r="X122" t="s">
        <v>64</v>
      </c>
      <c r="Y122" t="s">
        <v>190</v>
      </c>
      <c r="Z122" t="s">
        <v>190</v>
      </c>
      <c r="AA122">
        <v>21.9</v>
      </c>
      <c r="AB122" t="s">
        <v>79</v>
      </c>
      <c r="AC122" t="s">
        <v>180</v>
      </c>
      <c r="AD122" t="s">
        <v>201</v>
      </c>
      <c r="AE122" t="s">
        <v>192</v>
      </c>
    </row>
    <row r="123" spans="1:31" x14ac:dyDescent="0.3">
      <c r="A123" t="s">
        <v>446</v>
      </c>
      <c r="B123" t="s">
        <v>447</v>
      </c>
      <c r="C123" t="s">
        <v>54</v>
      </c>
      <c r="D123" t="s">
        <v>158</v>
      </c>
      <c r="E123" t="s">
        <v>63</v>
      </c>
      <c r="F123" s="9">
        <v>45889</v>
      </c>
      <c r="G123" s="9">
        <v>45845</v>
      </c>
      <c r="H123" t="s">
        <v>50</v>
      </c>
      <c r="I123" t="s">
        <v>72</v>
      </c>
      <c r="J123" t="s">
        <v>92</v>
      </c>
      <c r="K123" t="s">
        <v>54</v>
      </c>
      <c r="L123" t="s">
        <v>55</v>
      </c>
      <c r="M123" t="s">
        <v>66</v>
      </c>
      <c r="N123">
        <v>9</v>
      </c>
      <c r="O123" t="s">
        <v>64</v>
      </c>
      <c r="P123" t="s">
        <v>54</v>
      </c>
      <c r="Q123" s="9">
        <v>45875</v>
      </c>
      <c r="R123" t="s">
        <v>75</v>
      </c>
      <c r="S123">
        <v>4</v>
      </c>
      <c r="T123">
        <v>1</v>
      </c>
      <c r="U123">
        <v>1</v>
      </c>
      <c r="V123" t="s">
        <v>54</v>
      </c>
      <c r="W123">
        <v>3</v>
      </c>
      <c r="X123" t="s">
        <v>54</v>
      </c>
      <c r="Y123" t="s">
        <v>76</v>
      </c>
      <c r="Z123" t="s">
        <v>190</v>
      </c>
      <c r="AA123">
        <v>19.399999999999999</v>
      </c>
      <c r="AB123" t="s">
        <v>51</v>
      </c>
      <c r="AC123" t="s">
        <v>181</v>
      </c>
      <c r="AD123" t="s">
        <v>191</v>
      </c>
      <c r="AE123" t="s">
        <v>237</v>
      </c>
    </row>
    <row r="124" spans="1:31" x14ac:dyDescent="0.3">
      <c r="A124" t="s">
        <v>448</v>
      </c>
      <c r="B124" t="s">
        <v>449</v>
      </c>
      <c r="C124" t="s">
        <v>54</v>
      </c>
      <c r="D124" t="s">
        <v>158</v>
      </c>
      <c r="E124" t="s">
        <v>53</v>
      </c>
      <c r="F124" s="9">
        <v>45901</v>
      </c>
      <c r="G124" s="9">
        <v>45774</v>
      </c>
      <c r="H124" t="s">
        <v>70</v>
      </c>
      <c r="I124" t="s">
        <v>91</v>
      </c>
      <c r="J124" t="s">
        <v>77</v>
      </c>
      <c r="K124" t="s">
        <v>54</v>
      </c>
      <c r="L124" t="s">
        <v>55</v>
      </c>
      <c r="M124" t="s">
        <v>66</v>
      </c>
      <c r="N124">
        <v>7</v>
      </c>
      <c r="O124" t="s">
        <v>64</v>
      </c>
      <c r="P124" t="s">
        <v>54</v>
      </c>
      <c r="Q124" s="9">
        <v>45831</v>
      </c>
      <c r="R124" t="s">
        <v>67</v>
      </c>
      <c r="S124">
        <v>4</v>
      </c>
      <c r="T124">
        <v>4</v>
      </c>
      <c r="U124">
        <v>4</v>
      </c>
      <c r="V124" t="s">
        <v>54</v>
      </c>
      <c r="W124">
        <v>5</v>
      </c>
      <c r="X124" t="s">
        <v>64</v>
      </c>
      <c r="Y124" t="s">
        <v>190</v>
      </c>
      <c r="Z124" t="s">
        <v>190</v>
      </c>
      <c r="AA124">
        <v>11.1</v>
      </c>
      <c r="AB124" t="s">
        <v>71</v>
      </c>
      <c r="AC124" t="s">
        <v>180</v>
      </c>
      <c r="AD124" t="s">
        <v>201</v>
      </c>
      <c r="AE124" t="s">
        <v>192</v>
      </c>
    </row>
    <row r="125" spans="1:31" x14ac:dyDescent="0.3">
      <c r="A125" t="s">
        <v>450</v>
      </c>
      <c r="B125" t="s">
        <v>451</v>
      </c>
      <c r="C125" t="s">
        <v>54</v>
      </c>
      <c r="D125" t="s">
        <v>158</v>
      </c>
      <c r="E125" t="s">
        <v>63</v>
      </c>
      <c r="F125" s="9">
        <v>45835</v>
      </c>
      <c r="G125" s="9">
        <v>45755</v>
      </c>
      <c r="H125" t="s">
        <v>50</v>
      </c>
      <c r="I125" t="s">
        <v>72</v>
      </c>
      <c r="J125" t="s">
        <v>85</v>
      </c>
      <c r="K125" t="s">
        <v>54</v>
      </c>
      <c r="L125" t="s">
        <v>65</v>
      </c>
      <c r="M125" t="s">
        <v>66</v>
      </c>
      <c r="N125">
        <v>5</v>
      </c>
      <c r="O125" t="s">
        <v>64</v>
      </c>
      <c r="P125" t="s">
        <v>54</v>
      </c>
      <c r="Q125" s="9">
        <v>45807</v>
      </c>
      <c r="R125" t="s">
        <v>75</v>
      </c>
      <c r="S125">
        <v>4</v>
      </c>
      <c r="T125">
        <v>2</v>
      </c>
      <c r="U125">
        <v>3</v>
      </c>
      <c r="V125" t="s">
        <v>64</v>
      </c>
      <c r="W125">
        <v>3</v>
      </c>
      <c r="X125" t="s">
        <v>54</v>
      </c>
      <c r="Y125" t="s">
        <v>68</v>
      </c>
      <c r="Z125" t="s">
        <v>432</v>
      </c>
      <c r="AA125">
        <v>19.600000000000001</v>
      </c>
      <c r="AB125" t="s">
        <v>51</v>
      </c>
      <c r="AC125" t="s">
        <v>181</v>
      </c>
      <c r="AD125" t="s">
        <v>191</v>
      </c>
      <c r="AE125" t="s">
        <v>243</v>
      </c>
    </row>
    <row r="126" spans="1:31" x14ac:dyDescent="0.3">
      <c r="A126" t="s">
        <v>452</v>
      </c>
      <c r="B126" t="s">
        <v>453</v>
      </c>
      <c r="C126" t="s">
        <v>54</v>
      </c>
      <c r="D126" t="s">
        <v>158</v>
      </c>
      <c r="E126" t="s">
        <v>63</v>
      </c>
      <c r="F126" s="9">
        <v>45897</v>
      </c>
      <c r="G126" s="9">
        <v>45860</v>
      </c>
      <c r="H126" t="s">
        <v>50</v>
      </c>
      <c r="I126" t="s">
        <v>52</v>
      </c>
      <c r="J126" t="s">
        <v>94</v>
      </c>
      <c r="K126" t="s">
        <v>54</v>
      </c>
      <c r="L126" t="s">
        <v>190</v>
      </c>
      <c r="M126" t="s">
        <v>56</v>
      </c>
      <c r="N126">
        <v>5</v>
      </c>
      <c r="O126" t="s">
        <v>64</v>
      </c>
      <c r="P126" t="s">
        <v>64</v>
      </c>
      <c r="Q126" s="9"/>
      <c r="R126" t="s">
        <v>190</v>
      </c>
      <c r="V126" t="s">
        <v>190</v>
      </c>
      <c r="W126">
        <v>2</v>
      </c>
      <c r="X126" t="s">
        <v>64</v>
      </c>
      <c r="Y126" t="s">
        <v>190</v>
      </c>
      <c r="Z126" t="s">
        <v>190</v>
      </c>
      <c r="AA126">
        <v>14.3</v>
      </c>
      <c r="AB126" t="s">
        <v>51</v>
      </c>
      <c r="AC126" t="s">
        <v>181</v>
      </c>
      <c r="AD126" t="s">
        <v>192</v>
      </c>
      <c r="AE126" t="s">
        <v>192</v>
      </c>
    </row>
    <row r="127" spans="1:31" x14ac:dyDescent="0.3">
      <c r="A127" t="s">
        <v>454</v>
      </c>
      <c r="B127" t="s">
        <v>455</v>
      </c>
      <c r="C127" t="s">
        <v>54</v>
      </c>
      <c r="D127" t="s">
        <v>158</v>
      </c>
      <c r="E127" t="s">
        <v>63</v>
      </c>
      <c r="F127" s="9">
        <v>45897</v>
      </c>
      <c r="G127" s="9">
        <v>45833</v>
      </c>
      <c r="H127" t="s">
        <v>60</v>
      </c>
      <c r="I127" t="s">
        <v>80</v>
      </c>
      <c r="J127" t="s">
        <v>69</v>
      </c>
      <c r="K127" t="s">
        <v>54</v>
      </c>
      <c r="L127" t="s">
        <v>73</v>
      </c>
      <c r="M127" t="s">
        <v>66</v>
      </c>
      <c r="N127">
        <v>3</v>
      </c>
      <c r="O127" t="s">
        <v>64</v>
      </c>
      <c r="P127" t="s">
        <v>54</v>
      </c>
      <c r="Q127" s="9">
        <v>45855</v>
      </c>
      <c r="R127" t="s">
        <v>57</v>
      </c>
      <c r="S127">
        <v>3</v>
      </c>
      <c r="T127">
        <v>3</v>
      </c>
      <c r="U127">
        <v>4</v>
      </c>
      <c r="V127" t="s">
        <v>54</v>
      </c>
      <c r="W127">
        <v>5</v>
      </c>
      <c r="X127" t="s">
        <v>64</v>
      </c>
      <c r="Y127" t="s">
        <v>190</v>
      </c>
      <c r="Z127" t="s">
        <v>190</v>
      </c>
      <c r="AA127">
        <v>19.5</v>
      </c>
      <c r="AB127" t="s">
        <v>61</v>
      </c>
      <c r="AC127" t="s">
        <v>181</v>
      </c>
      <c r="AD127" t="s">
        <v>207</v>
      </c>
      <c r="AE127" t="s">
        <v>192</v>
      </c>
    </row>
    <row r="128" spans="1:31" x14ac:dyDescent="0.3">
      <c r="A128" t="s">
        <v>456</v>
      </c>
      <c r="B128" t="s">
        <v>457</v>
      </c>
      <c r="C128" t="s">
        <v>54</v>
      </c>
      <c r="D128" t="s">
        <v>158</v>
      </c>
      <c r="E128" t="s">
        <v>63</v>
      </c>
      <c r="F128" s="9">
        <v>45812</v>
      </c>
      <c r="G128" s="9">
        <v>45777</v>
      </c>
      <c r="H128" t="s">
        <v>60</v>
      </c>
      <c r="I128" t="s">
        <v>86</v>
      </c>
      <c r="J128" t="s">
        <v>88</v>
      </c>
      <c r="K128" t="s">
        <v>54</v>
      </c>
      <c r="L128" t="s">
        <v>81</v>
      </c>
      <c r="M128" t="s">
        <v>56</v>
      </c>
      <c r="N128">
        <v>10</v>
      </c>
      <c r="O128" t="s">
        <v>54</v>
      </c>
      <c r="P128" t="s">
        <v>54</v>
      </c>
      <c r="Q128" s="9">
        <v>45782</v>
      </c>
      <c r="R128" t="s">
        <v>67</v>
      </c>
      <c r="S128">
        <v>5</v>
      </c>
      <c r="T128">
        <v>4</v>
      </c>
      <c r="U128">
        <v>5</v>
      </c>
      <c r="V128" t="s">
        <v>54</v>
      </c>
      <c r="W128">
        <v>4</v>
      </c>
      <c r="X128" t="s">
        <v>54</v>
      </c>
      <c r="Y128" t="s">
        <v>68</v>
      </c>
      <c r="Z128" t="s">
        <v>190</v>
      </c>
      <c r="AA128">
        <v>15.5</v>
      </c>
      <c r="AB128" t="s">
        <v>61</v>
      </c>
      <c r="AC128" t="s">
        <v>181</v>
      </c>
      <c r="AD128" t="s">
        <v>201</v>
      </c>
      <c r="AE128" t="s">
        <v>243</v>
      </c>
    </row>
    <row r="129" spans="1:31" x14ac:dyDescent="0.3">
      <c r="A129" t="s">
        <v>458</v>
      </c>
      <c r="B129" t="s">
        <v>459</v>
      </c>
      <c r="C129" t="s">
        <v>54</v>
      </c>
      <c r="D129" t="s">
        <v>158</v>
      </c>
      <c r="E129" t="s">
        <v>53</v>
      </c>
      <c r="F129" s="9">
        <v>45769</v>
      </c>
      <c r="G129" s="9">
        <v>45679</v>
      </c>
      <c r="H129" t="s">
        <v>70</v>
      </c>
      <c r="I129" t="s">
        <v>93</v>
      </c>
      <c r="J129" t="s">
        <v>85</v>
      </c>
      <c r="K129" t="s">
        <v>54</v>
      </c>
      <c r="L129" t="s">
        <v>65</v>
      </c>
      <c r="M129" t="s">
        <v>56</v>
      </c>
      <c r="N129">
        <v>5</v>
      </c>
      <c r="O129" t="s">
        <v>64</v>
      </c>
      <c r="P129" t="s">
        <v>54</v>
      </c>
      <c r="Q129" s="9">
        <v>45723</v>
      </c>
      <c r="R129" t="s">
        <v>83</v>
      </c>
      <c r="S129">
        <v>2</v>
      </c>
      <c r="T129">
        <v>1</v>
      </c>
      <c r="U129">
        <v>2</v>
      </c>
      <c r="V129" t="s">
        <v>64</v>
      </c>
      <c r="W129">
        <v>2</v>
      </c>
      <c r="X129" t="s">
        <v>64</v>
      </c>
      <c r="Y129" t="s">
        <v>190</v>
      </c>
      <c r="Z129" t="s">
        <v>190</v>
      </c>
      <c r="AA129">
        <v>24.1</v>
      </c>
      <c r="AB129" t="s">
        <v>71</v>
      </c>
      <c r="AC129" t="s">
        <v>180</v>
      </c>
      <c r="AD129" t="s">
        <v>196</v>
      </c>
      <c r="AE129" t="s">
        <v>192</v>
      </c>
    </row>
    <row r="130" spans="1:31" x14ac:dyDescent="0.3">
      <c r="A130" t="s">
        <v>460</v>
      </c>
      <c r="B130" t="s">
        <v>461</v>
      </c>
      <c r="C130" t="s">
        <v>54</v>
      </c>
      <c r="D130" t="s">
        <v>158</v>
      </c>
      <c r="E130" t="s">
        <v>63</v>
      </c>
      <c r="F130" s="9">
        <v>45912</v>
      </c>
      <c r="G130" s="9">
        <v>45851</v>
      </c>
      <c r="H130" t="s">
        <v>78</v>
      </c>
      <c r="I130" t="s">
        <v>98</v>
      </c>
      <c r="J130" t="s">
        <v>90</v>
      </c>
      <c r="K130" t="s">
        <v>54</v>
      </c>
      <c r="L130" t="s">
        <v>55</v>
      </c>
      <c r="M130" t="s">
        <v>56</v>
      </c>
      <c r="N130">
        <v>5</v>
      </c>
      <c r="O130" t="s">
        <v>64</v>
      </c>
      <c r="P130" t="s">
        <v>64</v>
      </c>
      <c r="Q130" s="9"/>
      <c r="R130" t="s">
        <v>190</v>
      </c>
      <c r="V130" t="s">
        <v>190</v>
      </c>
      <c r="W130">
        <v>4</v>
      </c>
      <c r="X130" t="s">
        <v>64</v>
      </c>
      <c r="Y130" t="s">
        <v>190</v>
      </c>
      <c r="Z130" t="s">
        <v>190</v>
      </c>
      <c r="AA130">
        <v>19.100000000000001</v>
      </c>
      <c r="AB130" t="s">
        <v>79</v>
      </c>
      <c r="AC130" t="s">
        <v>181</v>
      </c>
      <c r="AD130" t="s">
        <v>192</v>
      </c>
      <c r="AE130" t="s">
        <v>192</v>
      </c>
    </row>
    <row r="131" spans="1:31" x14ac:dyDescent="0.3">
      <c r="A131" t="s">
        <v>168</v>
      </c>
      <c r="B131" t="s">
        <v>169</v>
      </c>
      <c r="C131" t="s">
        <v>54</v>
      </c>
      <c r="D131" t="s">
        <v>158</v>
      </c>
      <c r="E131" t="s">
        <v>63</v>
      </c>
      <c r="F131" s="9">
        <v>45808</v>
      </c>
      <c r="G131" s="9">
        <v>45701</v>
      </c>
      <c r="H131" t="s">
        <v>170</v>
      </c>
      <c r="I131" t="s">
        <v>95</v>
      </c>
      <c r="J131" t="s">
        <v>69</v>
      </c>
      <c r="K131" t="s">
        <v>54</v>
      </c>
      <c r="L131" t="s">
        <v>65</v>
      </c>
      <c r="M131" t="s">
        <v>56</v>
      </c>
      <c r="N131">
        <v>3</v>
      </c>
      <c r="O131" t="s">
        <v>64</v>
      </c>
      <c r="P131" t="s">
        <v>54</v>
      </c>
      <c r="Q131" s="9">
        <v>45772</v>
      </c>
      <c r="R131" t="s">
        <v>75</v>
      </c>
      <c r="S131">
        <v>4</v>
      </c>
      <c r="T131">
        <v>2</v>
      </c>
      <c r="U131">
        <v>4</v>
      </c>
      <c r="V131" t="s">
        <v>64</v>
      </c>
      <c r="W131">
        <v>3</v>
      </c>
      <c r="X131" t="s">
        <v>64</v>
      </c>
      <c r="Y131" t="s">
        <v>190</v>
      </c>
      <c r="Z131" t="s">
        <v>190</v>
      </c>
      <c r="AA131">
        <v>15.9</v>
      </c>
      <c r="AB131" t="s">
        <v>192</v>
      </c>
      <c r="AC131" t="s">
        <v>181</v>
      </c>
      <c r="AD131" t="s">
        <v>191</v>
      </c>
      <c r="AE131" t="s">
        <v>192</v>
      </c>
    </row>
    <row r="132" spans="1:31" x14ac:dyDescent="0.3">
      <c r="A132" t="s">
        <v>462</v>
      </c>
      <c r="B132" t="s">
        <v>463</v>
      </c>
      <c r="C132" t="s">
        <v>54</v>
      </c>
      <c r="D132" t="s">
        <v>158</v>
      </c>
      <c r="E132" t="s">
        <v>53</v>
      </c>
      <c r="F132" s="9">
        <v>45813</v>
      </c>
      <c r="G132" s="9">
        <v>45690</v>
      </c>
      <c r="H132" t="s">
        <v>50</v>
      </c>
      <c r="I132" t="s">
        <v>52</v>
      </c>
      <c r="J132" t="s">
        <v>59</v>
      </c>
      <c r="K132" t="s">
        <v>54</v>
      </c>
      <c r="L132" t="s">
        <v>81</v>
      </c>
      <c r="M132" t="s">
        <v>56</v>
      </c>
      <c r="N132">
        <v>8</v>
      </c>
      <c r="O132" t="s">
        <v>64</v>
      </c>
      <c r="P132" t="s">
        <v>64</v>
      </c>
      <c r="Q132" s="9"/>
      <c r="R132" t="s">
        <v>190</v>
      </c>
      <c r="V132" t="s">
        <v>190</v>
      </c>
      <c r="W132">
        <v>4</v>
      </c>
      <c r="X132" t="s">
        <v>64</v>
      </c>
      <c r="Y132" t="s">
        <v>190</v>
      </c>
      <c r="Z132" t="s">
        <v>190</v>
      </c>
      <c r="AA132">
        <v>7.7</v>
      </c>
      <c r="AB132" t="s">
        <v>51</v>
      </c>
      <c r="AC132" t="s">
        <v>180</v>
      </c>
      <c r="AD132" t="s">
        <v>192</v>
      </c>
      <c r="AE132" t="s">
        <v>192</v>
      </c>
    </row>
    <row r="133" spans="1:31" x14ac:dyDescent="0.3">
      <c r="A133" t="s">
        <v>464</v>
      </c>
      <c r="B133" t="s">
        <v>465</v>
      </c>
      <c r="C133" t="s">
        <v>54</v>
      </c>
      <c r="D133" t="s">
        <v>158</v>
      </c>
      <c r="E133" t="s">
        <v>63</v>
      </c>
      <c r="F133" s="9">
        <v>45832</v>
      </c>
      <c r="G133" s="9">
        <v>45717</v>
      </c>
      <c r="H133" t="s">
        <v>60</v>
      </c>
      <c r="I133" t="s">
        <v>80</v>
      </c>
      <c r="J133" t="s">
        <v>90</v>
      </c>
      <c r="K133" t="s">
        <v>54</v>
      </c>
      <c r="L133" t="s">
        <v>65</v>
      </c>
      <c r="M133" t="s">
        <v>56</v>
      </c>
      <c r="N133">
        <v>5</v>
      </c>
      <c r="O133" t="s">
        <v>64</v>
      </c>
      <c r="P133" t="s">
        <v>64</v>
      </c>
      <c r="Q133" s="9"/>
      <c r="R133" t="s">
        <v>190</v>
      </c>
      <c r="V133" t="s">
        <v>190</v>
      </c>
      <c r="W133">
        <v>3</v>
      </c>
      <c r="X133" t="s">
        <v>64</v>
      </c>
      <c r="Y133" t="s">
        <v>190</v>
      </c>
      <c r="Z133" t="s">
        <v>190</v>
      </c>
      <c r="AA133">
        <v>11.5</v>
      </c>
      <c r="AB133" t="s">
        <v>61</v>
      </c>
      <c r="AC133" t="s">
        <v>181</v>
      </c>
      <c r="AD133" t="s">
        <v>192</v>
      </c>
      <c r="AE133" t="s">
        <v>192</v>
      </c>
    </row>
    <row r="134" spans="1:31" x14ac:dyDescent="0.3">
      <c r="A134" t="s">
        <v>466</v>
      </c>
      <c r="B134" t="s">
        <v>467</v>
      </c>
      <c r="C134" t="s">
        <v>54</v>
      </c>
      <c r="D134" t="s">
        <v>158</v>
      </c>
      <c r="E134" t="s">
        <v>63</v>
      </c>
      <c r="F134" s="9">
        <v>45866</v>
      </c>
      <c r="G134" s="9">
        <v>45780</v>
      </c>
      <c r="H134" t="s">
        <v>60</v>
      </c>
      <c r="I134" t="s">
        <v>86</v>
      </c>
      <c r="J134" t="s">
        <v>88</v>
      </c>
      <c r="K134" t="s">
        <v>54</v>
      </c>
      <c r="L134" t="s">
        <v>87</v>
      </c>
      <c r="M134" t="s">
        <v>56</v>
      </c>
      <c r="N134">
        <v>8</v>
      </c>
      <c r="O134" t="s">
        <v>64</v>
      </c>
      <c r="P134" t="s">
        <v>54</v>
      </c>
      <c r="Q134" s="9">
        <v>45863</v>
      </c>
      <c r="R134" t="s">
        <v>75</v>
      </c>
      <c r="S134">
        <v>5</v>
      </c>
      <c r="T134">
        <v>2</v>
      </c>
      <c r="U134">
        <v>3</v>
      </c>
      <c r="V134" t="s">
        <v>64</v>
      </c>
      <c r="W134">
        <v>3</v>
      </c>
      <c r="X134" t="s">
        <v>64</v>
      </c>
      <c r="Y134" t="s">
        <v>190</v>
      </c>
      <c r="Z134" t="s">
        <v>190</v>
      </c>
      <c r="AA134">
        <v>11.4</v>
      </c>
      <c r="AB134" t="s">
        <v>61</v>
      </c>
      <c r="AC134" t="s">
        <v>181</v>
      </c>
      <c r="AD134" t="s">
        <v>191</v>
      </c>
      <c r="AE134" t="s">
        <v>192</v>
      </c>
    </row>
    <row r="135" spans="1:31" x14ac:dyDescent="0.3">
      <c r="A135" t="s">
        <v>468</v>
      </c>
      <c r="B135" t="s">
        <v>469</v>
      </c>
      <c r="C135" t="s">
        <v>54</v>
      </c>
      <c r="D135" t="s">
        <v>158</v>
      </c>
      <c r="E135" t="s">
        <v>53</v>
      </c>
      <c r="F135" s="9">
        <v>45875</v>
      </c>
      <c r="G135" s="9">
        <v>45732</v>
      </c>
      <c r="H135" t="s">
        <v>70</v>
      </c>
      <c r="I135" t="s">
        <v>93</v>
      </c>
      <c r="J135" t="s">
        <v>69</v>
      </c>
      <c r="K135" t="s">
        <v>54</v>
      </c>
      <c r="L135" t="s">
        <v>73</v>
      </c>
      <c r="M135" t="s">
        <v>56</v>
      </c>
      <c r="N135">
        <v>5</v>
      </c>
      <c r="O135" t="s">
        <v>64</v>
      </c>
      <c r="P135" t="s">
        <v>54</v>
      </c>
      <c r="Q135" s="9">
        <v>45866</v>
      </c>
      <c r="R135" t="s">
        <v>75</v>
      </c>
      <c r="S135">
        <v>4</v>
      </c>
      <c r="T135">
        <v>4</v>
      </c>
      <c r="U135">
        <v>4</v>
      </c>
      <c r="V135" t="s">
        <v>64</v>
      </c>
      <c r="W135">
        <v>4</v>
      </c>
      <c r="X135" t="s">
        <v>64</v>
      </c>
      <c r="Y135" t="s">
        <v>190</v>
      </c>
      <c r="Z135" t="s">
        <v>190</v>
      </c>
      <c r="AA135">
        <v>25.7</v>
      </c>
      <c r="AB135" t="s">
        <v>71</v>
      </c>
      <c r="AC135" t="s">
        <v>180</v>
      </c>
      <c r="AD135" t="s">
        <v>191</v>
      </c>
      <c r="AE135" t="s">
        <v>192</v>
      </c>
    </row>
    <row r="136" spans="1:31" x14ac:dyDescent="0.3">
      <c r="A136" t="s">
        <v>470</v>
      </c>
      <c r="B136" t="s">
        <v>471</v>
      </c>
      <c r="C136" t="s">
        <v>54</v>
      </c>
      <c r="D136" t="s">
        <v>158</v>
      </c>
      <c r="E136" t="s">
        <v>63</v>
      </c>
      <c r="F136" s="9">
        <v>45828</v>
      </c>
      <c r="G136" s="9">
        <v>45762</v>
      </c>
      <c r="H136" t="s">
        <v>70</v>
      </c>
      <c r="I136" t="s">
        <v>93</v>
      </c>
      <c r="J136" t="s">
        <v>94</v>
      </c>
      <c r="K136" t="s">
        <v>54</v>
      </c>
      <c r="L136" t="s">
        <v>81</v>
      </c>
      <c r="M136" t="s">
        <v>56</v>
      </c>
      <c r="N136">
        <v>5</v>
      </c>
      <c r="O136" t="s">
        <v>64</v>
      </c>
      <c r="P136" t="s">
        <v>54</v>
      </c>
      <c r="Q136" s="9">
        <v>45766</v>
      </c>
      <c r="R136" t="s">
        <v>75</v>
      </c>
      <c r="S136">
        <v>4</v>
      </c>
      <c r="T136">
        <v>4</v>
      </c>
      <c r="U136">
        <v>5</v>
      </c>
      <c r="V136" t="s">
        <v>54</v>
      </c>
      <c r="W136">
        <v>2</v>
      </c>
      <c r="X136" t="s">
        <v>64</v>
      </c>
      <c r="Y136" t="s">
        <v>190</v>
      </c>
      <c r="Z136" t="s">
        <v>472</v>
      </c>
      <c r="AA136">
        <v>12.4</v>
      </c>
      <c r="AB136" t="s">
        <v>71</v>
      </c>
      <c r="AC136" t="s">
        <v>181</v>
      </c>
      <c r="AD136" t="s">
        <v>191</v>
      </c>
      <c r="AE136" t="s">
        <v>192</v>
      </c>
    </row>
    <row r="137" spans="1:31" x14ac:dyDescent="0.3">
      <c r="A137" t="s">
        <v>473</v>
      </c>
      <c r="B137" t="s">
        <v>474</v>
      </c>
      <c r="C137" t="s">
        <v>54</v>
      </c>
      <c r="D137" t="s">
        <v>158</v>
      </c>
      <c r="E137" t="s">
        <v>53</v>
      </c>
      <c r="F137" s="9">
        <v>45890</v>
      </c>
      <c r="G137" s="9">
        <v>45832</v>
      </c>
      <c r="H137" t="s">
        <v>50</v>
      </c>
      <c r="I137" t="s">
        <v>62</v>
      </c>
      <c r="J137" t="s">
        <v>85</v>
      </c>
      <c r="K137" t="s">
        <v>54</v>
      </c>
      <c r="L137" t="s">
        <v>65</v>
      </c>
      <c r="M137" t="s">
        <v>66</v>
      </c>
      <c r="N137">
        <v>7</v>
      </c>
      <c r="O137" t="s">
        <v>64</v>
      </c>
      <c r="P137" t="s">
        <v>54</v>
      </c>
      <c r="Q137" s="9">
        <v>45890</v>
      </c>
      <c r="R137" t="s">
        <v>83</v>
      </c>
      <c r="S137">
        <v>4</v>
      </c>
      <c r="T137">
        <v>3</v>
      </c>
      <c r="U137">
        <v>4</v>
      </c>
      <c r="V137" t="s">
        <v>64</v>
      </c>
      <c r="W137">
        <v>4</v>
      </c>
      <c r="X137" t="s">
        <v>64</v>
      </c>
      <c r="Y137" t="s">
        <v>190</v>
      </c>
      <c r="Z137" t="s">
        <v>195</v>
      </c>
      <c r="AA137">
        <v>21.3</v>
      </c>
      <c r="AB137" t="s">
        <v>51</v>
      </c>
      <c r="AC137" t="s">
        <v>180</v>
      </c>
      <c r="AD137" t="s">
        <v>196</v>
      </c>
      <c r="AE137" t="s">
        <v>192</v>
      </c>
    </row>
    <row r="138" spans="1:31" x14ac:dyDescent="0.3">
      <c r="A138" t="s">
        <v>475</v>
      </c>
      <c r="B138" t="s">
        <v>476</v>
      </c>
      <c r="C138" t="s">
        <v>54</v>
      </c>
      <c r="D138" t="s">
        <v>158</v>
      </c>
      <c r="E138" t="s">
        <v>63</v>
      </c>
      <c r="F138" s="9">
        <v>45902</v>
      </c>
      <c r="G138" s="9">
        <v>45808</v>
      </c>
      <c r="H138" t="s">
        <v>78</v>
      </c>
      <c r="I138" t="s">
        <v>96</v>
      </c>
      <c r="J138" t="s">
        <v>92</v>
      </c>
      <c r="K138" t="s">
        <v>54</v>
      </c>
      <c r="L138" t="s">
        <v>55</v>
      </c>
      <c r="M138" t="s">
        <v>66</v>
      </c>
      <c r="N138">
        <v>3</v>
      </c>
      <c r="O138" t="s">
        <v>64</v>
      </c>
      <c r="P138" t="s">
        <v>54</v>
      </c>
      <c r="Q138" s="9">
        <v>45829</v>
      </c>
      <c r="R138" t="s">
        <v>75</v>
      </c>
      <c r="S138">
        <v>5</v>
      </c>
      <c r="T138">
        <v>3</v>
      </c>
      <c r="U138">
        <v>3</v>
      </c>
      <c r="V138" t="s">
        <v>54</v>
      </c>
      <c r="W138">
        <v>4</v>
      </c>
      <c r="X138" t="s">
        <v>64</v>
      </c>
      <c r="Y138" t="s">
        <v>190</v>
      </c>
      <c r="Z138" t="s">
        <v>190</v>
      </c>
      <c r="AA138">
        <v>14.4</v>
      </c>
      <c r="AB138" t="s">
        <v>79</v>
      </c>
      <c r="AC138" t="s">
        <v>181</v>
      </c>
      <c r="AD138" t="s">
        <v>191</v>
      </c>
      <c r="AE138" t="s">
        <v>192</v>
      </c>
    </row>
    <row r="139" spans="1:31" x14ac:dyDescent="0.3">
      <c r="A139" t="s">
        <v>163</v>
      </c>
      <c r="B139" t="s">
        <v>164</v>
      </c>
      <c r="C139" t="s">
        <v>54</v>
      </c>
      <c r="D139" t="s">
        <v>158</v>
      </c>
      <c r="E139" t="s">
        <v>53</v>
      </c>
      <c r="F139" s="9">
        <v>45851</v>
      </c>
      <c r="G139" s="9">
        <v>45810</v>
      </c>
      <c r="H139" t="s">
        <v>70</v>
      </c>
      <c r="I139" t="s">
        <v>93</v>
      </c>
      <c r="J139" t="s">
        <v>90</v>
      </c>
      <c r="K139" t="s">
        <v>54</v>
      </c>
      <c r="L139" t="s">
        <v>55</v>
      </c>
      <c r="M139" t="s">
        <v>66</v>
      </c>
      <c r="N139">
        <v>8</v>
      </c>
      <c r="O139" t="s">
        <v>64</v>
      </c>
      <c r="P139" t="s">
        <v>54</v>
      </c>
      <c r="Q139" s="9">
        <v>45850</v>
      </c>
      <c r="R139" t="s">
        <v>57</v>
      </c>
      <c r="S139">
        <v>5</v>
      </c>
      <c r="T139">
        <v>2</v>
      </c>
      <c r="U139">
        <v>2</v>
      </c>
      <c r="V139" t="s">
        <v>54</v>
      </c>
      <c r="W139">
        <v>4</v>
      </c>
      <c r="X139" t="s">
        <v>54</v>
      </c>
      <c r="Y139" t="s">
        <v>76</v>
      </c>
      <c r="Z139" t="s">
        <v>190</v>
      </c>
      <c r="AA139">
        <v>19.5</v>
      </c>
      <c r="AB139" t="s">
        <v>71</v>
      </c>
      <c r="AC139" t="s">
        <v>180</v>
      </c>
      <c r="AD139" t="s">
        <v>207</v>
      </c>
      <c r="AE139" t="s">
        <v>237</v>
      </c>
    </row>
    <row r="140" spans="1:31" x14ac:dyDescent="0.3">
      <c r="A140" t="s">
        <v>477</v>
      </c>
      <c r="B140" t="s">
        <v>478</v>
      </c>
      <c r="C140" t="s">
        <v>54</v>
      </c>
      <c r="D140" t="s">
        <v>158</v>
      </c>
      <c r="E140" t="s">
        <v>63</v>
      </c>
      <c r="F140" s="9">
        <v>45851</v>
      </c>
      <c r="G140" s="9">
        <v>45737</v>
      </c>
      <c r="H140" t="s">
        <v>50</v>
      </c>
      <c r="I140" t="s">
        <v>52</v>
      </c>
      <c r="J140" t="s">
        <v>69</v>
      </c>
      <c r="K140" t="s">
        <v>54</v>
      </c>
      <c r="L140" t="s">
        <v>65</v>
      </c>
      <c r="M140" t="s">
        <v>56</v>
      </c>
      <c r="N140">
        <v>2</v>
      </c>
      <c r="O140" t="s">
        <v>64</v>
      </c>
      <c r="P140" t="s">
        <v>54</v>
      </c>
      <c r="Q140" s="9">
        <v>45641</v>
      </c>
      <c r="R140" t="s">
        <v>57</v>
      </c>
      <c r="S140">
        <v>4</v>
      </c>
      <c r="T140">
        <v>2</v>
      </c>
      <c r="U140">
        <v>4</v>
      </c>
      <c r="V140" t="s">
        <v>54</v>
      </c>
      <c r="W140">
        <v>1</v>
      </c>
      <c r="X140" t="s">
        <v>64</v>
      </c>
      <c r="Y140" t="s">
        <v>190</v>
      </c>
      <c r="Z140" t="s">
        <v>190</v>
      </c>
      <c r="AA140">
        <v>22.4</v>
      </c>
      <c r="AB140" t="s">
        <v>51</v>
      </c>
      <c r="AC140" t="s">
        <v>181</v>
      </c>
      <c r="AD140" t="s">
        <v>207</v>
      </c>
      <c r="AE140" t="s">
        <v>192</v>
      </c>
    </row>
    <row r="141" spans="1:31" x14ac:dyDescent="0.3">
      <c r="A141" t="s">
        <v>479</v>
      </c>
      <c r="B141" t="s">
        <v>480</v>
      </c>
      <c r="C141" t="s">
        <v>54</v>
      </c>
      <c r="D141" t="s">
        <v>158</v>
      </c>
      <c r="E141" t="s">
        <v>63</v>
      </c>
      <c r="F141" s="9">
        <v>45927</v>
      </c>
      <c r="G141" s="9">
        <v>45874</v>
      </c>
      <c r="H141" t="s">
        <v>70</v>
      </c>
      <c r="I141" t="s">
        <v>91</v>
      </c>
      <c r="J141" t="s">
        <v>94</v>
      </c>
      <c r="K141" t="s">
        <v>54</v>
      </c>
      <c r="L141" t="s">
        <v>65</v>
      </c>
      <c r="M141" t="s">
        <v>56</v>
      </c>
      <c r="N141">
        <v>3</v>
      </c>
      <c r="O141" t="s">
        <v>64</v>
      </c>
      <c r="P141" t="s">
        <v>54</v>
      </c>
      <c r="Q141" s="9">
        <v>45913</v>
      </c>
      <c r="R141" t="s">
        <v>57</v>
      </c>
      <c r="S141">
        <v>2</v>
      </c>
      <c r="T141">
        <v>2</v>
      </c>
      <c r="U141">
        <v>3</v>
      </c>
      <c r="V141" t="s">
        <v>54</v>
      </c>
      <c r="W141">
        <v>4</v>
      </c>
      <c r="X141" t="s">
        <v>54</v>
      </c>
      <c r="Y141" t="s">
        <v>58</v>
      </c>
      <c r="Z141" t="s">
        <v>190</v>
      </c>
      <c r="AA141">
        <v>13.1</v>
      </c>
      <c r="AB141" t="s">
        <v>71</v>
      </c>
      <c r="AC141" t="s">
        <v>181</v>
      </c>
      <c r="AD141" t="s">
        <v>207</v>
      </c>
      <c r="AE141" t="s">
        <v>222</v>
      </c>
    </row>
    <row r="142" spans="1:31" x14ac:dyDescent="0.3">
      <c r="A142" t="s">
        <v>481</v>
      </c>
      <c r="B142" t="s">
        <v>482</v>
      </c>
      <c r="C142" t="s">
        <v>54</v>
      </c>
      <c r="D142" t="s">
        <v>158</v>
      </c>
      <c r="E142" t="s">
        <v>63</v>
      </c>
      <c r="F142" s="9">
        <v>45755</v>
      </c>
      <c r="G142" s="9">
        <v>45655</v>
      </c>
      <c r="H142" t="s">
        <v>60</v>
      </c>
      <c r="I142" t="s">
        <v>89</v>
      </c>
      <c r="J142" t="s">
        <v>88</v>
      </c>
      <c r="K142" t="s">
        <v>54</v>
      </c>
      <c r="L142" t="s">
        <v>81</v>
      </c>
      <c r="M142" t="s">
        <v>66</v>
      </c>
      <c r="N142">
        <v>7</v>
      </c>
      <c r="O142" t="s">
        <v>64</v>
      </c>
      <c r="P142" t="s">
        <v>54</v>
      </c>
      <c r="Q142" s="9">
        <v>45704</v>
      </c>
      <c r="R142" t="s">
        <v>67</v>
      </c>
      <c r="S142">
        <v>4</v>
      </c>
      <c r="T142">
        <v>4</v>
      </c>
      <c r="U142">
        <v>5</v>
      </c>
      <c r="V142" t="s">
        <v>54</v>
      </c>
      <c r="W142">
        <v>4</v>
      </c>
      <c r="X142" t="s">
        <v>64</v>
      </c>
      <c r="Y142" t="s">
        <v>190</v>
      </c>
      <c r="Z142" t="s">
        <v>190</v>
      </c>
      <c r="AA142">
        <v>15.2</v>
      </c>
      <c r="AB142" t="s">
        <v>61</v>
      </c>
      <c r="AC142" t="s">
        <v>181</v>
      </c>
      <c r="AD142" t="s">
        <v>201</v>
      </c>
      <c r="AE142" t="s">
        <v>192</v>
      </c>
    </row>
    <row r="143" spans="1:31" x14ac:dyDescent="0.3">
      <c r="A143" t="s">
        <v>483</v>
      </c>
      <c r="B143" t="s">
        <v>484</v>
      </c>
      <c r="C143" t="s">
        <v>54</v>
      </c>
      <c r="D143" t="s">
        <v>158</v>
      </c>
      <c r="E143" t="s">
        <v>53</v>
      </c>
      <c r="F143" s="9">
        <v>45885</v>
      </c>
      <c r="G143" s="9">
        <v>45767</v>
      </c>
      <c r="H143" t="s">
        <v>78</v>
      </c>
      <c r="I143" t="s">
        <v>98</v>
      </c>
      <c r="J143" t="s">
        <v>85</v>
      </c>
      <c r="K143" t="s">
        <v>54</v>
      </c>
      <c r="L143" t="s">
        <v>65</v>
      </c>
      <c r="M143" t="s">
        <v>66</v>
      </c>
      <c r="N143">
        <v>8</v>
      </c>
      <c r="O143" t="s">
        <v>64</v>
      </c>
      <c r="P143" t="s">
        <v>54</v>
      </c>
      <c r="Q143" s="9">
        <v>45848</v>
      </c>
      <c r="R143" t="s">
        <v>57</v>
      </c>
      <c r="S143">
        <v>4</v>
      </c>
      <c r="T143">
        <v>4</v>
      </c>
      <c r="U143">
        <v>4</v>
      </c>
      <c r="V143" t="s">
        <v>54</v>
      </c>
      <c r="W143">
        <v>5</v>
      </c>
      <c r="X143" t="s">
        <v>64</v>
      </c>
      <c r="Y143" t="s">
        <v>190</v>
      </c>
      <c r="Z143" t="s">
        <v>190</v>
      </c>
      <c r="AA143">
        <v>8.5</v>
      </c>
      <c r="AB143" t="s">
        <v>79</v>
      </c>
      <c r="AC143" t="s">
        <v>180</v>
      </c>
      <c r="AD143" t="s">
        <v>207</v>
      </c>
      <c r="AE143" t="s">
        <v>192</v>
      </c>
    </row>
    <row r="144" spans="1:31" x14ac:dyDescent="0.3">
      <c r="A144" t="s">
        <v>485</v>
      </c>
      <c r="B144" t="s">
        <v>486</v>
      </c>
      <c r="C144" t="s">
        <v>54</v>
      </c>
      <c r="D144" t="s">
        <v>158</v>
      </c>
      <c r="E144" t="s">
        <v>63</v>
      </c>
      <c r="F144" s="9">
        <v>45786</v>
      </c>
      <c r="G144" s="9">
        <v>45720</v>
      </c>
      <c r="H144" t="s">
        <v>70</v>
      </c>
      <c r="I144" t="s">
        <v>91</v>
      </c>
      <c r="J144" t="s">
        <v>92</v>
      </c>
      <c r="K144" t="s">
        <v>54</v>
      </c>
      <c r="L144" t="s">
        <v>73</v>
      </c>
      <c r="M144" t="s">
        <v>66</v>
      </c>
      <c r="N144">
        <v>11</v>
      </c>
      <c r="O144" t="s">
        <v>64</v>
      </c>
      <c r="P144" t="s">
        <v>54</v>
      </c>
      <c r="Q144" s="9">
        <v>45733</v>
      </c>
      <c r="R144" t="s">
        <v>57</v>
      </c>
      <c r="S144">
        <v>4</v>
      </c>
      <c r="T144">
        <v>1</v>
      </c>
      <c r="U144">
        <v>3</v>
      </c>
      <c r="V144" t="s">
        <v>54</v>
      </c>
      <c r="W144">
        <v>4</v>
      </c>
      <c r="X144" t="s">
        <v>64</v>
      </c>
      <c r="Y144" t="s">
        <v>190</v>
      </c>
      <c r="Z144" t="s">
        <v>190</v>
      </c>
      <c r="AA144">
        <v>11.7</v>
      </c>
      <c r="AB144" t="s">
        <v>71</v>
      </c>
      <c r="AC144" t="s">
        <v>181</v>
      </c>
      <c r="AD144" t="s">
        <v>207</v>
      </c>
      <c r="AE144" t="s">
        <v>192</v>
      </c>
    </row>
    <row r="145" spans="1:31" x14ac:dyDescent="0.3">
      <c r="A145" t="s">
        <v>487</v>
      </c>
      <c r="B145" t="s">
        <v>488</v>
      </c>
      <c r="C145" t="s">
        <v>54</v>
      </c>
      <c r="D145" t="s">
        <v>158</v>
      </c>
      <c r="E145" t="s">
        <v>63</v>
      </c>
      <c r="F145" s="9">
        <v>45830</v>
      </c>
      <c r="G145" s="9">
        <v>45798</v>
      </c>
      <c r="H145" t="s">
        <v>190</v>
      </c>
      <c r="I145" t="s">
        <v>96</v>
      </c>
      <c r="J145" t="s">
        <v>88</v>
      </c>
      <c r="K145" t="s">
        <v>54</v>
      </c>
      <c r="L145" t="s">
        <v>73</v>
      </c>
      <c r="M145" t="s">
        <v>66</v>
      </c>
      <c r="N145">
        <v>4</v>
      </c>
      <c r="O145" t="s">
        <v>64</v>
      </c>
      <c r="P145" t="s">
        <v>54</v>
      </c>
      <c r="Q145" s="9">
        <v>45801</v>
      </c>
      <c r="R145" t="s">
        <v>83</v>
      </c>
      <c r="S145">
        <v>4</v>
      </c>
      <c r="T145">
        <v>4</v>
      </c>
      <c r="U145">
        <v>5</v>
      </c>
      <c r="V145" t="s">
        <v>54</v>
      </c>
      <c r="W145">
        <v>3</v>
      </c>
      <c r="X145" t="s">
        <v>64</v>
      </c>
      <c r="Y145" t="s">
        <v>190</v>
      </c>
      <c r="Z145" t="s">
        <v>190</v>
      </c>
      <c r="AA145">
        <v>18.3</v>
      </c>
      <c r="AB145" t="s">
        <v>192</v>
      </c>
      <c r="AC145" t="s">
        <v>181</v>
      </c>
      <c r="AD145" t="s">
        <v>196</v>
      </c>
      <c r="AE145" t="s">
        <v>192</v>
      </c>
    </row>
    <row r="146" spans="1:31" x14ac:dyDescent="0.3">
      <c r="A146" t="s">
        <v>489</v>
      </c>
      <c r="B146" t="s">
        <v>490</v>
      </c>
      <c r="C146" t="s">
        <v>54</v>
      </c>
      <c r="D146" t="s">
        <v>158</v>
      </c>
      <c r="E146" t="s">
        <v>53</v>
      </c>
      <c r="F146" s="9">
        <v>45775</v>
      </c>
      <c r="G146" s="9">
        <v>45724</v>
      </c>
      <c r="H146" t="s">
        <v>70</v>
      </c>
      <c r="I146" t="s">
        <v>91</v>
      </c>
      <c r="J146" t="s">
        <v>69</v>
      </c>
      <c r="K146" t="s">
        <v>54</v>
      </c>
      <c r="L146" t="s">
        <v>55</v>
      </c>
      <c r="M146" t="s">
        <v>66</v>
      </c>
      <c r="N146">
        <v>5</v>
      </c>
      <c r="O146" t="s">
        <v>64</v>
      </c>
      <c r="P146" t="s">
        <v>64</v>
      </c>
      <c r="Q146" s="9"/>
      <c r="R146" t="s">
        <v>190</v>
      </c>
      <c r="V146" t="s">
        <v>190</v>
      </c>
      <c r="W146">
        <v>5</v>
      </c>
      <c r="X146" t="s">
        <v>64</v>
      </c>
      <c r="Y146" t="s">
        <v>190</v>
      </c>
      <c r="Z146" t="s">
        <v>190</v>
      </c>
      <c r="AA146">
        <v>18.2</v>
      </c>
      <c r="AB146" t="s">
        <v>71</v>
      </c>
      <c r="AC146" t="s">
        <v>180</v>
      </c>
      <c r="AD146" t="s">
        <v>192</v>
      </c>
      <c r="AE146" t="s">
        <v>192</v>
      </c>
    </row>
    <row r="147" spans="1:31" x14ac:dyDescent="0.3">
      <c r="A147" t="s">
        <v>491</v>
      </c>
      <c r="B147" t="s">
        <v>492</v>
      </c>
      <c r="C147" t="s">
        <v>54</v>
      </c>
      <c r="D147" t="s">
        <v>158</v>
      </c>
      <c r="E147" t="s">
        <v>53</v>
      </c>
      <c r="F147" s="9">
        <v>45896</v>
      </c>
      <c r="G147" s="9">
        <v>45829</v>
      </c>
      <c r="H147" t="s">
        <v>78</v>
      </c>
      <c r="I147" t="s">
        <v>98</v>
      </c>
      <c r="J147" t="s">
        <v>59</v>
      </c>
      <c r="K147" t="s">
        <v>54</v>
      </c>
      <c r="L147" t="s">
        <v>73</v>
      </c>
      <c r="M147" t="s">
        <v>66</v>
      </c>
      <c r="N147">
        <v>5</v>
      </c>
      <c r="O147" t="s">
        <v>64</v>
      </c>
      <c r="P147" t="s">
        <v>54</v>
      </c>
      <c r="Q147" s="9">
        <v>45857</v>
      </c>
      <c r="R147" t="s">
        <v>67</v>
      </c>
      <c r="S147">
        <v>5</v>
      </c>
      <c r="T147">
        <v>1</v>
      </c>
      <c r="U147">
        <v>1</v>
      </c>
      <c r="V147" t="s">
        <v>54</v>
      </c>
      <c r="W147">
        <v>4</v>
      </c>
      <c r="X147" t="s">
        <v>54</v>
      </c>
      <c r="Y147" t="s">
        <v>58</v>
      </c>
      <c r="Z147" t="s">
        <v>493</v>
      </c>
      <c r="AA147">
        <v>12</v>
      </c>
      <c r="AB147" t="s">
        <v>79</v>
      </c>
      <c r="AC147" t="s">
        <v>180</v>
      </c>
      <c r="AD147" t="s">
        <v>201</v>
      </c>
      <c r="AE147" t="s">
        <v>222</v>
      </c>
    </row>
    <row r="148" spans="1:31" x14ac:dyDescent="0.3">
      <c r="A148" t="s">
        <v>494</v>
      </c>
      <c r="B148" t="s">
        <v>495</v>
      </c>
      <c r="C148" t="s">
        <v>54</v>
      </c>
      <c r="D148" t="s">
        <v>158</v>
      </c>
      <c r="E148" t="s">
        <v>63</v>
      </c>
      <c r="F148" s="9">
        <v>45851</v>
      </c>
      <c r="G148" s="9">
        <v>45789</v>
      </c>
      <c r="H148" t="s">
        <v>50</v>
      </c>
      <c r="I148" t="s">
        <v>72</v>
      </c>
      <c r="J148" t="s">
        <v>94</v>
      </c>
      <c r="K148" t="s">
        <v>54</v>
      </c>
      <c r="L148" t="s">
        <v>73</v>
      </c>
      <c r="M148" t="s">
        <v>56</v>
      </c>
      <c r="N148">
        <v>6</v>
      </c>
      <c r="O148" t="s">
        <v>64</v>
      </c>
      <c r="P148" t="s">
        <v>54</v>
      </c>
      <c r="Q148" s="9">
        <v>45824</v>
      </c>
      <c r="R148" t="s">
        <v>57</v>
      </c>
      <c r="S148">
        <v>5</v>
      </c>
      <c r="T148">
        <v>4</v>
      </c>
      <c r="U148">
        <v>5</v>
      </c>
      <c r="V148" t="s">
        <v>54</v>
      </c>
      <c r="W148">
        <v>3</v>
      </c>
      <c r="X148" t="s">
        <v>64</v>
      </c>
      <c r="Y148" t="s">
        <v>190</v>
      </c>
      <c r="Z148" t="s">
        <v>190</v>
      </c>
      <c r="AA148">
        <v>9.1999999999999993</v>
      </c>
      <c r="AB148" t="s">
        <v>51</v>
      </c>
      <c r="AC148" t="s">
        <v>181</v>
      </c>
      <c r="AD148" t="s">
        <v>207</v>
      </c>
      <c r="AE148" t="s">
        <v>192</v>
      </c>
    </row>
    <row r="149" spans="1:31" x14ac:dyDescent="0.3">
      <c r="A149" t="s">
        <v>496</v>
      </c>
      <c r="B149" t="s">
        <v>497</v>
      </c>
      <c r="C149" t="s">
        <v>54</v>
      </c>
      <c r="D149" t="s">
        <v>158</v>
      </c>
      <c r="E149" t="s">
        <v>53</v>
      </c>
      <c r="F149" s="9">
        <v>45814</v>
      </c>
      <c r="G149" s="9">
        <v>45766</v>
      </c>
      <c r="H149" t="s">
        <v>70</v>
      </c>
      <c r="I149" t="s">
        <v>93</v>
      </c>
      <c r="J149" t="s">
        <v>92</v>
      </c>
      <c r="K149" t="s">
        <v>54</v>
      </c>
      <c r="L149" t="s">
        <v>65</v>
      </c>
      <c r="M149" t="s">
        <v>66</v>
      </c>
      <c r="N149">
        <v>6</v>
      </c>
      <c r="O149" t="s">
        <v>64</v>
      </c>
      <c r="P149" t="s">
        <v>54</v>
      </c>
      <c r="Q149" s="9">
        <v>45784</v>
      </c>
      <c r="R149" t="s">
        <v>83</v>
      </c>
      <c r="S149">
        <v>3</v>
      </c>
      <c r="T149">
        <v>1</v>
      </c>
      <c r="U149">
        <v>2</v>
      </c>
      <c r="V149" t="s">
        <v>54</v>
      </c>
      <c r="W149">
        <v>4</v>
      </c>
      <c r="X149" t="s">
        <v>64</v>
      </c>
      <c r="Y149" t="s">
        <v>190</v>
      </c>
      <c r="Z149" t="s">
        <v>190</v>
      </c>
      <c r="AA149">
        <v>18.100000000000001</v>
      </c>
      <c r="AB149" t="s">
        <v>71</v>
      </c>
      <c r="AC149" t="s">
        <v>180</v>
      </c>
      <c r="AD149" t="s">
        <v>196</v>
      </c>
      <c r="AE149" t="s">
        <v>192</v>
      </c>
    </row>
    <row r="150" spans="1:31" x14ac:dyDescent="0.3">
      <c r="A150" t="s">
        <v>498</v>
      </c>
      <c r="B150" t="s">
        <v>499</v>
      </c>
      <c r="C150" t="s">
        <v>54</v>
      </c>
      <c r="D150" t="s">
        <v>158</v>
      </c>
      <c r="E150" t="s">
        <v>53</v>
      </c>
      <c r="F150" s="9">
        <v>45829</v>
      </c>
      <c r="G150" s="9">
        <v>45719</v>
      </c>
      <c r="H150" t="s">
        <v>60</v>
      </c>
      <c r="I150" t="s">
        <v>89</v>
      </c>
      <c r="J150" t="s">
        <v>94</v>
      </c>
      <c r="K150" t="s">
        <v>54</v>
      </c>
      <c r="L150" t="s">
        <v>81</v>
      </c>
      <c r="M150" t="s">
        <v>66</v>
      </c>
      <c r="N150">
        <v>4</v>
      </c>
      <c r="O150" t="s">
        <v>64</v>
      </c>
      <c r="P150" t="s">
        <v>54</v>
      </c>
      <c r="Q150" s="9">
        <v>45802</v>
      </c>
      <c r="R150" t="s">
        <v>83</v>
      </c>
      <c r="S150">
        <v>5</v>
      </c>
      <c r="T150">
        <v>3</v>
      </c>
      <c r="U150">
        <v>4</v>
      </c>
      <c r="V150" t="s">
        <v>64</v>
      </c>
      <c r="W150">
        <v>4</v>
      </c>
      <c r="X150" t="s">
        <v>64</v>
      </c>
      <c r="Y150" t="s">
        <v>190</v>
      </c>
      <c r="Z150" t="s">
        <v>190</v>
      </c>
      <c r="AA150">
        <v>16.100000000000001</v>
      </c>
      <c r="AB150" t="s">
        <v>61</v>
      </c>
      <c r="AC150" t="s">
        <v>180</v>
      </c>
      <c r="AD150" t="s">
        <v>196</v>
      </c>
      <c r="AE150" t="s">
        <v>192</v>
      </c>
    </row>
    <row r="151" spans="1:31" x14ac:dyDescent="0.3">
      <c r="A151" t="s">
        <v>500</v>
      </c>
      <c r="B151" t="s">
        <v>501</v>
      </c>
      <c r="C151" t="s">
        <v>54</v>
      </c>
      <c r="D151" t="s">
        <v>158</v>
      </c>
      <c r="E151" t="s">
        <v>53</v>
      </c>
      <c r="F151" s="9">
        <v>45864</v>
      </c>
      <c r="G151" s="9">
        <v>45829</v>
      </c>
      <c r="H151" t="s">
        <v>70</v>
      </c>
      <c r="I151" t="s">
        <v>91</v>
      </c>
      <c r="J151" t="s">
        <v>69</v>
      </c>
      <c r="K151" t="s">
        <v>54</v>
      </c>
      <c r="L151" t="s">
        <v>87</v>
      </c>
      <c r="M151" t="s">
        <v>74</v>
      </c>
      <c r="N151">
        <v>3</v>
      </c>
      <c r="O151" t="s">
        <v>64</v>
      </c>
      <c r="P151" t="s">
        <v>54</v>
      </c>
      <c r="Q151" s="9">
        <v>45841</v>
      </c>
      <c r="R151" t="s">
        <v>57</v>
      </c>
      <c r="S151">
        <v>2</v>
      </c>
      <c r="T151">
        <v>4</v>
      </c>
      <c r="U151">
        <v>4</v>
      </c>
      <c r="V151" t="s">
        <v>54</v>
      </c>
      <c r="W151">
        <v>3</v>
      </c>
      <c r="X151" t="s">
        <v>64</v>
      </c>
      <c r="Y151" t="s">
        <v>190</v>
      </c>
      <c r="Z151" t="s">
        <v>322</v>
      </c>
      <c r="AA151">
        <v>18</v>
      </c>
      <c r="AB151" t="s">
        <v>71</v>
      </c>
      <c r="AC151" t="s">
        <v>180</v>
      </c>
      <c r="AD151" t="s">
        <v>207</v>
      </c>
      <c r="AE151" t="s">
        <v>192</v>
      </c>
    </row>
    <row r="152" spans="1:31" x14ac:dyDescent="0.3">
      <c r="A152" t="s">
        <v>502</v>
      </c>
      <c r="B152" t="s">
        <v>503</v>
      </c>
      <c r="C152" t="s">
        <v>54</v>
      </c>
      <c r="D152" t="s">
        <v>158</v>
      </c>
      <c r="E152" t="s">
        <v>63</v>
      </c>
      <c r="F152" s="9">
        <v>45776</v>
      </c>
      <c r="G152" s="9">
        <v>45741</v>
      </c>
      <c r="H152" t="s">
        <v>60</v>
      </c>
      <c r="I152" t="s">
        <v>80</v>
      </c>
      <c r="J152" t="s">
        <v>77</v>
      </c>
      <c r="K152" t="s">
        <v>54</v>
      </c>
      <c r="L152" t="s">
        <v>73</v>
      </c>
      <c r="M152" t="s">
        <v>66</v>
      </c>
      <c r="N152">
        <v>6</v>
      </c>
      <c r="O152" t="s">
        <v>64</v>
      </c>
      <c r="P152" t="s">
        <v>54</v>
      </c>
      <c r="Q152" s="9">
        <v>45767</v>
      </c>
      <c r="R152" t="s">
        <v>67</v>
      </c>
      <c r="S152">
        <v>2</v>
      </c>
      <c r="T152">
        <v>3</v>
      </c>
      <c r="U152">
        <v>5</v>
      </c>
      <c r="V152" t="s">
        <v>54</v>
      </c>
      <c r="W152">
        <v>5</v>
      </c>
      <c r="X152" t="s">
        <v>64</v>
      </c>
      <c r="Y152" t="s">
        <v>190</v>
      </c>
      <c r="Z152" t="s">
        <v>190</v>
      </c>
      <c r="AA152">
        <v>13.1</v>
      </c>
      <c r="AB152" t="s">
        <v>61</v>
      </c>
      <c r="AC152" t="s">
        <v>181</v>
      </c>
      <c r="AD152" t="s">
        <v>201</v>
      </c>
      <c r="AE152" t="s">
        <v>192</v>
      </c>
    </row>
    <row r="153" spans="1:31" x14ac:dyDescent="0.3">
      <c r="A153" t="s">
        <v>504</v>
      </c>
      <c r="B153" t="s">
        <v>505</v>
      </c>
      <c r="C153" t="s">
        <v>54</v>
      </c>
      <c r="D153" t="s">
        <v>158</v>
      </c>
      <c r="E153" t="s">
        <v>53</v>
      </c>
      <c r="F153" s="9">
        <v>45915</v>
      </c>
      <c r="G153" s="9">
        <v>45804</v>
      </c>
      <c r="H153" t="s">
        <v>50</v>
      </c>
      <c r="I153" t="s">
        <v>62</v>
      </c>
      <c r="J153" t="s">
        <v>94</v>
      </c>
      <c r="K153" t="s">
        <v>54</v>
      </c>
      <c r="L153" t="s">
        <v>73</v>
      </c>
      <c r="M153" t="s">
        <v>56</v>
      </c>
      <c r="N153">
        <v>3</v>
      </c>
      <c r="O153" t="s">
        <v>64</v>
      </c>
      <c r="P153" t="s">
        <v>54</v>
      </c>
      <c r="Q153" s="9">
        <v>45863</v>
      </c>
      <c r="R153" t="s">
        <v>83</v>
      </c>
      <c r="S153">
        <v>4</v>
      </c>
      <c r="T153">
        <v>3</v>
      </c>
      <c r="U153">
        <v>4</v>
      </c>
      <c r="V153" t="s">
        <v>64</v>
      </c>
      <c r="W153">
        <v>3</v>
      </c>
      <c r="X153" t="s">
        <v>64</v>
      </c>
      <c r="Y153" t="s">
        <v>190</v>
      </c>
      <c r="Z153" t="s">
        <v>190</v>
      </c>
      <c r="AA153">
        <v>21.4</v>
      </c>
      <c r="AB153" t="s">
        <v>51</v>
      </c>
      <c r="AC153" t="s">
        <v>180</v>
      </c>
      <c r="AD153" t="s">
        <v>196</v>
      </c>
      <c r="AE153" t="s">
        <v>192</v>
      </c>
    </row>
    <row r="154" spans="1:31" x14ac:dyDescent="0.3">
      <c r="A154" t="s">
        <v>506</v>
      </c>
      <c r="B154" t="s">
        <v>507</v>
      </c>
      <c r="C154" t="s">
        <v>54</v>
      </c>
      <c r="D154" t="s">
        <v>158</v>
      </c>
      <c r="E154" t="s">
        <v>53</v>
      </c>
      <c r="F154" s="9">
        <v>45786</v>
      </c>
      <c r="G154" s="9">
        <v>45726</v>
      </c>
      <c r="H154" t="s">
        <v>60</v>
      </c>
      <c r="I154" t="s">
        <v>89</v>
      </c>
      <c r="J154" t="s">
        <v>85</v>
      </c>
      <c r="K154" t="s">
        <v>54</v>
      </c>
      <c r="L154" t="s">
        <v>65</v>
      </c>
      <c r="M154" t="s">
        <v>66</v>
      </c>
      <c r="N154">
        <v>5</v>
      </c>
      <c r="O154" t="s">
        <v>54</v>
      </c>
      <c r="P154" t="s">
        <v>54</v>
      </c>
      <c r="Q154" s="9">
        <v>45735</v>
      </c>
      <c r="R154" t="s">
        <v>83</v>
      </c>
      <c r="S154">
        <v>4</v>
      </c>
      <c r="T154">
        <v>4</v>
      </c>
      <c r="U154">
        <v>5</v>
      </c>
      <c r="V154" t="s">
        <v>54</v>
      </c>
      <c r="W154">
        <v>3</v>
      </c>
      <c r="X154" t="s">
        <v>54</v>
      </c>
      <c r="Y154" t="s">
        <v>58</v>
      </c>
      <c r="Z154" t="s">
        <v>206</v>
      </c>
      <c r="AA154">
        <v>21.5</v>
      </c>
      <c r="AB154" t="s">
        <v>61</v>
      </c>
      <c r="AC154" t="s">
        <v>180</v>
      </c>
      <c r="AD154" t="s">
        <v>196</v>
      </c>
      <c r="AE154" t="s">
        <v>222</v>
      </c>
    </row>
    <row r="155" spans="1:31" x14ac:dyDescent="0.3">
      <c r="A155" t="s">
        <v>508</v>
      </c>
      <c r="B155" t="s">
        <v>509</v>
      </c>
      <c r="C155" t="s">
        <v>54</v>
      </c>
      <c r="D155" t="s">
        <v>158</v>
      </c>
      <c r="E155" t="s">
        <v>63</v>
      </c>
      <c r="F155" s="9">
        <v>45803</v>
      </c>
      <c r="G155" s="9">
        <v>45726</v>
      </c>
      <c r="H155" t="s">
        <v>50</v>
      </c>
      <c r="I155" t="s">
        <v>62</v>
      </c>
      <c r="J155" t="s">
        <v>85</v>
      </c>
      <c r="K155" t="s">
        <v>54</v>
      </c>
      <c r="L155" t="s">
        <v>65</v>
      </c>
      <c r="M155" t="s">
        <v>66</v>
      </c>
      <c r="N155">
        <v>5</v>
      </c>
      <c r="O155" t="s">
        <v>64</v>
      </c>
      <c r="P155" t="s">
        <v>64</v>
      </c>
      <c r="Q155" s="9"/>
      <c r="R155" t="s">
        <v>190</v>
      </c>
      <c r="V155" t="s">
        <v>190</v>
      </c>
      <c r="W155">
        <v>4</v>
      </c>
      <c r="X155" t="s">
        <v>64</v>
      </c>
      <c r="Y155" t="s">
        <v>190</v>
      </c>
      <c r="Z155" t="s">
        <v>190</v>
      </c>
      <c r="AA155">
        <v>20.2</v>
      </c>
      <c r="AB155" t="s">
        <v>51</v>
      </c>
      <c r="AC155" t="s">
        <v>181</v>
      </c>
      <c r="AD155" t="s">
        <v>192</v>
      </c>
      <c r="AE155" t="s">
        <v>192</v>
      </c>
    </row>
    <row r="156" spans="1:31" x14ac:dyDescent="0.3">
      <c r="A156" t="s">
        <v>510</v>
      </c>
      <c r="B156" t="s">
        <v>511</v>
      </c>
      <c r="C156" t="s">
        <v>54</v>
      </c>
      <c r="D156" t="s">
        <v>158</v>
      </c>
      <c r="E156" t="s">
        <v>63</v>
      </c>
      <c r="F156" s="9">
        <v>45783</v>
      </c>
      <c r="G156" s="9">
        <v>45738</v>
      </c>
      <c r="H156" t="s">
        <v>70</v>
      </c>
      <c r="I156" t="s">
        <v>95</v>
      </c>
      <c r="J156" t="s">
        <v>59</v>
      </c>
      <c r="K156" t="s">
        <v>54</v>
      </c>
      <c r="L156" t="s">
        <v>65</v>
      </c>
      <c r="M156" t="s">
        <v>56</v>
      </c>
      <c r="N156">
        <v>3</v>
      </c>
      <c r="O156" t="s">
        <v>64</v>
      </c>
      <c r="P156" t="s">
        <v>64</v>
      </c>
      <c r="Q156" s="9"/>
      <c r="R156" t="s">
        <v>190</v>
      </c>
      <c r="V156" t="s">
        <v>190</v>
      </c>
      <c r="W156">
        <v>3</v>
      </c>
      <c r="X156" t="s">
        <v>64</v>
      </c>
      <c r="Y156" t="s">
        <v>190</v>
      </c>
      <c r="Z156" t="s">
        <v>190</v>
      </c>
      <c r="AA156">
        <v>14</v>
      </c>
      <c r="AB156" t="s">
        <v>71</v>
      </c>
      <c r="AC156" t="s">
        <v>181</v>
      </c>
      <c r="AD156" t="s">
        <v>192</v>
      </c>
      <c r="AE156" t="s">
        <v>192</v>
      </c>
    </row>
    <row r="157" spans="1:31" x14ac:dyDescent="0.3">
      <c r="A157" t="s">
        <v>512</v>
      </c>
      <c r="B157" t="s">
        <v>513</v>
      </c>
      <c r="C157" t="s">
        <v>54</v>
      </c>
      <c r="D157" t="s">
        <v>158</v>
      </c>
      <c r="E157" t="s">
        <v>53</v>
      </c>
      <c r="F157" s="9">
        <v>45826</v>
      </c>
      <c r="G157" s="9">
        <v>45750</v>
      </c>
      <c r="H157" t="s">
        <v>50</v>
      </c>
      <c r="I157" t="s">
        <v>52</v>
      </c>
      <c r="J157" t="s">
        <v>90</v>
      </c>
      <c r="K157" t="s">
        <v>54</v>
      </c>
      <c r="L157" t="s">
        <v>73</v>
      </c>
      <c r="M157" t="s">
        <v>66</v>
      </c>
      <c r="N157">
        <v>5</v>
      </c>
      <c r="O157" t="s">
        <v>64</v>
      </c>
      <c r="P157" t="s">
        <v>54</v>
      </c>
      <c r="Q157" s="9">
        <v>45816</v>
      </c>
      <c r="R157" t="s">
        <v>57</v>
      </c>
      <c r="S157">
        <v>4</v>
      </c>
      <c r="T157">
        <v>2</v>
      </c>
      <c r="U157">
        <v>3</v>
      </c>
      <c r="V157" t="s">
        <v>54</v>
      </c>
      <c r="W157">
        <v>1</v>
      </c>
      <c r="X157" t="s">
        <v>54</v>
      </c>
      <c r="Y157" t="s">
        <v>58</v>
      </c>
      <c r="Z157" t="s">
        <v>190</v>
      </c>
      <c r="AA157">
        <v>19.399999999999999</v>
      </c>
      <c r="AB157" t="s">
        <v>51</v>
      </c>
      <c r="AC157" t="s">
        <v>180</v>
      </c>
      <c r="AD157" t="s">
        <v>207</v>
      </c>
      <c r="AE157" t="s">
        <v>222</v>
      </c>
    </row>
    <row r="158" spans="1:31" x14ac:dyDescent="0.3">
      <c r="A158" t="s">
        <v>514</v>
      </c>
      <c r="B158" t="s">
        <v>515</v>
      </c>
      <c r="C158" t="s">
        <v>54</v>
      </c>
      <c r="D158" t="s">
        <v>158</v>
      </c>
      <c r="E158" t="s">
        <v>63</v>
      </c>
      <c r="F158" s="9">
        <v>45877</v>
      </c>
      <c r="G158" s="9">
        <v>45731</v>
      </c>
      <c r="H158" t="s">
        <v>78</v>
      </c>
      <c r="I158" t="s">
        <v>96</v>
      </c>
      <c r="J158" t="s">
        <v>90</v>
      </c>
      <c r="K158" t="s">
        <v>54</v>
      </c>
      <c r="L158" t="s">
        <v>55</v>
      </c>
      <c r="M158" t="s">
        <v>66</v>
      </c>
      <c r="N158">
        <v>6</v>
      </c>
      <c r="O158" t="s">
        <v>64</v>
      </c>
      <c r="P158" t="s">
        <v>54</v>
      </c>
      <c r="Q158" s="9">
        <v>45741</v>
      </c>
      <c r="R158" t="s">
        <v>67</v>
      </c>
      <c r="S158">
        <v>5</v>
      </c>
      <c r="T158">
        <v>1</v>
      </c>
      <c r="U158">
        <v>3</v>
      </c>
      <c r="V158" t="s">
        <v>64</v>
      </c>
      <c r="W158">
        <v>5</v>
      </c>
      <c r="X158" t="s">
        <v>54</v>
      </c>
      <c r="Y158" t="s">
        <v>76</v>
      </c>
      <c r="Z158" t="s">
        <v>190</v>
      </c>
      <c r="AA158">
        <v>21.5</v>
      </c>
      <c r="AB158" t="s">
        <v>79</v>
      </c>
      <c r="AC158" t="s">
        <v>181</v>
      </c>
      <c r="AD158" t="s">
        <v>201</v>
      </c>
      <c r="AE158" t="s">
        <v>237</v>
      </c>
    </row>
    <row r="159" spans="1:31" x14ac:dyDescent="0.3">
      <c r="A159" t="s">
        <v>516</v>
      </c>
      <c r="B159" t="s">
        <v>517</v>
      </c>
      <c r="C159" t="s">
        <v>54</v>
      </c>
      <c r="D159" t="s">
        <v>158</v>
      </c>
      <c r="E159" t="s">
        <v>53</v>
      </c>
      <c r="F159" s="9">
        <v>45782</v>
      </c>
      <c r="G159" s="9">
        <v>45654</v>
      </c>
      <c r="H159" t="s">
        <v>50</v>
      </c>
      <c r="I159" t="s">
        <v>72</v>
      </c>
      <c r="J159" t="s">
        <v>59</v>
      </c>
      <c r="K159" t="s">
        <v>54</v>
      </c>
      <c r="L159" t="s">
        <v>73</v>
      </c>
      <c r="M159" t="s">
        <v>56</v>
      </c>
      <c r="N159">
        <v>5</v>
      </c>
      <c r="O159" t="s">
        <v>64</v>
      </c>
      <c r="P159" t="s">
        <v>54</v>
      </c>
      <c r="Q159" s="9">
        <v>45670</v>
      </c>
      <c r="R159" t="s">
        <v>57</v>
      </c>
      <c r="S159">
        <v>5</v>
      </c>
      <c r="T159">
        <v>3</v>
      </c>
      <c r="U159">
        <v>4</v>
      </c>
      <c r="V159" t="s">
        <v>54</v>
      </c>
      <c r="W159">
        <v>4</v>
      </c>
      <c r="X159" t="s">
        <v>64</v>
      </c>
      <c r="Y159" t="s">
        <v>190</v>
      </c>
      <c r="Z159" t="s">
        <v>190</v>
      </c>
      <c r="AA159">
        <v>20.7</v>
      </c>
      <c r="AB159" t="s">
        <v>51</v>
      </c>
      <c r="AC159" t="s">
        <v>180</v>
      </c>
      <c r="AD159" t="s">
        <v>207</v>
      </c>
      <c r="AE159" t="s">
        <v>192</v>
      </c>
    </row>
    <row r="160" spans="1:31" x14ac:dyDescent="0.3">
      <c r="A160" t="s">
        <v>518</v>
      </c>
      <c r="B160" t="s">
        <v>519</v>
      </c>
      <c r="C160" t="s">
        <v>54</v>
      </c>
      <c r="D160" t="s">
        <v>158</v>
      </c>
      <c r="E160" t="s">
        <v>53</v>
      </c>
      <c r="F160" s="9">
        <v>45886</v>
      </c>
      <c r="G160" s="9">
        <v>45764</v>
      </c>
      <c r="H160" t="s">
        <v>78</v>
      </c>
      <c r="I160" t="s">
        <v>98</v>
      </c>
      <c r="J160" t="s">
        <v>94</v>
      </c>
      <c r="K160" t="s">
        <v>54</v>
      </c>
      <c r="L160" t="s">
        <v>55</v>
      </c>
      <c r="M160" t="s">
        <v>66</v>
      </c>
      <c r="N160">
        <v>5</v>
      </c>
      <c r="O160" t="s">
        <v>64</v>
      </c>
      <c r="P160" t="s">
        <v>54</v>
      </c>
      <c r="Q160" s="9">
        <v>45867</v>
      </c>
      <c r="R160" t="s">
        <v>75</v>
      </c>
      <c r="S160">
        <v>2</v>
      </c>
      <c r="T160">
        <v>1</v>
      </c>
      <c r="U160">
        <v>2</v>
      </c>
      <c r="V160" t="s">
        <v>54</v>
      </c>
      <c r="W160">
        <v>4</v>
      </c>
      <c r="X160" t="s">
        <v>64</v>
      </c>
      <c r="Y160" t="s">
        <v>190</v>
      </c>
      <c r="Z160" t="s">
        <v>190</v>
      </c>
      <c r="AA160">
        <v>30.4</v>
      </c>
      <c r="AB160" t="s">
        <v>79</v>
      </c>
      <c r="AC160" t="s">
        <v>180</v>
      </c>
      <c r="AD160" t="s">
        <v>191</v>
      </c>
      <c r="AE160" t="s">
        <v>192</v>
      </c>
    </row>
    <row r="161" spans="1:31" x14ac:dyDescent="0.3">
      <c r="A161" t="s">
        <v>520</v>
      </c>
      <c r="B161" t="s">
        <v>521</v>
      </c>
      <c r="C161" t="s">
        <v>54</v>
      </c>
      <c r="D161" t="s">
        <v>158</v>
      </c>
      <c r="E161" t="s">
        <v>63</v>
      </c>
      <c r="F161" s="9">
        <v>45781</v>
      </c>
      <c r="G161" s="9">
        <v>45704</v>
      </c>
      <c r="H161" t="s">
        <v>78</v>
      </c>
      <c r="I161" t="s">
        <v>96</v>
      </c>
      <c r="J161" t="s">
        <v>69</v>
      </c>
      <c r="K161" t="s">
        <v>54</v>
      </c>
      <c r="L161" t="s">
        <v>81</v>
      </c>
      <c r="M161" t="s">
        <v>66</v>
      </c>
      <c r="N161">
        <v>4</v>
      </c>
      <c r="O161" t="s">
        <v>64</v>
      </c>
      <c r="P161" t="s">
        <v>64</v>
      </c>
      <c r="Q161" s="9"/>
      <c r="R161" t="s">
        <v>190</v>
      </c>
      <c r="V161" t="s">
        <v>190</v>
      </c>
      <c r="W161">
        <v>5</v>
      </c>
      <c r="X161" t="s">
        <v>64</v>
      </c>
      <c r="Y161" t="s">
        <v>190</v>
      </c>
      <c r="Z161" t="s">
        <v>190</v>
      </c>
      <c r="AA161">
        <v>18.899999999999999</v>
      </c>
      <c r="AB161" t="s">
        <v>79</v>
      </c>
      <c r="AC161" t="s">
        <v>181</v>
      </c>
      <c r="AD161" t="s">
        <v>192</v>
      </c>
      <c r="AE161" t="s">
        <v>192</v>
      </c>
    </row>
    <row r="162" spans="1:31" x14ac:dyDescent="0.3">
      <c r="A162" t="s">
        <v>522</v>
      </c>
      <c r="B162" t="s">
        <v>523</v>
      </c>
      <c r="C162" t="s">
        <v>54</v>
      </c>
      <c r="D162" t="s">
        <v>158</v>
      </c>
      <c r="E162" t="s">
        <v>63</v>
      </c>
      <c r="F162" s="9">
        <v>45846</v>
      </c>
      <c r="G162" s="9">
        <v>45711</v>
      </c>
      <c r="H162" t="s">
        <v>70</v>
      </c>
      <c r="I162" t="s">
        <v>91</v>
      </c>
      <c r="J162" t="s">
        <v>59</v>
      </c>
      <c r="K162" t="s">
        <v>54</v>
      </c>
      <c r="L162" t="s">
        <v>65</v>
      </c>
      <c r="M162" t="s">
        <v>66</v>
      </c>
      <c r="N162">
        <v>4</v>
      </c>
      <c r="O162" t="s">
        <v>64</v>
      </c>
      <c r="P162" t="s">
        <v>54</v>
      </c>
      <c r="Q162" s="9">
        <v>45758</v>
      </c>
      <c r="R162" t="s">
        <v>67</v>
      </c>
      <c r="S162">
        <v>4</v>
      </c>
      <c r="T162">
        <v>1</v>
      </c>
      <c r="U162">
        <v>2</v>
      </c>
      <c r="V162" t="s">
        <v>64</v>
      </c>
      <c r="W162">
        <v>3</v>
      </c>
      <c r="X162" t="s">
        <v>64</v>
      </c>
      <c r="Y162" t="s">
        <v>190</v>
      </c>
      <c r="Z162" t="s">
        <v>190</v>
      </c>
      <c r="AA162">
        <v>11.2</v>
      </c>
      <c r="AB162" t="s">
        <v>71</v>
      </c>
      <c r="AC162" t="s">
        <v>181</v>
      </c>
      <c r="AD162" t="s">
        <v>201</v>
      </c>
      <c r="AE162" t="s">
        <v>192</v>
      </c>
    </row>
    <row r="163" spans="1:31" x14ac:dyDescent="0.3">
      <c r="A163" t="s">
        <v>524</v>
      </c>
      <c r="B163" t="s">
        <v>525</v>
      </c>
      <c r="C163" t="s">
        <v>54</v>
      </c>
      <c r="D163" t="s">
        <v>158</v>
      </c>
      <c r="E163" t="s">
        <v>63</v>
      </c>
      <c r="F163" s="9">
        <v>45820</v>
      </c>
      <c r="G163" s="9">
        <v>45755</v>
      </c>
      <c r="H163" t="s">
        <v>70</v>
      </c>
      <c r="I163" t="s">
        <v>95</v>
      </c>
      <c r="J163" t="s">
        <v>59</v>
      </c>
      <c r="K163" t="s">
        <v>54</v>
      </c>
      <c r="L163" t="s">
        <v>65</v>
      </c>
      <c r="M163" t="s">
        <v>56</v>
      </c>
      <c r="N163">
        <v>8</v>
      </c>
      <c r="O163" t="s">
        <v>64</v>
      </c>
      <c r="P163" t="s">
        <v>64</v>
      </c>
      <c r="Q163" s="9"/>
      <c r="R163" t="s">
        <v>190</v>
      </c>
      <c r="V163" t="s">
        <v>190</v>
      </c>
      <c r="W163">
        <v>4</v>
      </c>
      <c r="X163" t="s">
        <v>64</v>
      </c>
      <c r="Y163" t="s">
        <v>190</v>
      </c>
      <c r="Z163" t="s">
        <v>190</v>
      </c>
      <c r="AA163">
        <v>23.5</v>
      </c>
      <c r="AB163" t="s">
        <v>71</v>
      </c>
      <c r="AC163" t="s">
        <v>181</v>
      </c>
      <c r="AD163" t="s">
        <v>192</v>
      </c>
      <c r="AE163" t="s">
        <v>192</v>
      </c>
    </row>
    <row r="164" spans="1:31" x14ac:dyDescent="0.3">
      <c r="A164" t="s">
        <v>526</v>
      </c>
      <c r="B164" t="s">
        <v>527</v>
      </c>
      <c r="C164" t="s">
        <v>54</v>
      </c>
      <c r="D164" t="s">
        <v>158</v>
      </c>
      <c r="E164" t="s">
        <v>63</v>
      </c>
      <c r="F164" s="9">
        <v>45796</v>
      </c>
      <c r="G164" s="9">
        <v>45662</v>
      </c>
      <c r="H164" t="s">
        <v>60</v>
      </c>
      <c r="I164" t="s">
        <v>80</v>
      </c>
      <c r="J164" t="s">
        <v>92</v>
      </c>
      <c r="K164" t="s">
        <v>54</v>
      </c>
      <c r="L164" t="s">
        <v>73</v>
      </c>
      <c r="M164" t="s">
        <v>56</v>
      </c>
      <c r="N164">
        <v>4</v>
      </c>
      <c r="O164" t="s">
        <v>64</v>
      </c>
      <c r="P164" t="s">
        <v>54</v>
      </c>
      <c r="Q164" s="9">
        <v>45757</v>
      </c>
      <c r="R164" t="s">
        <v>57</v>
      </c>
      <c r="S164">
        <v>3</v>
      </c>
      <c r="T164">
        <v>4</v>
      </c>
      <c r="U164">
        <v>5</v>
      </c>
      <c r="V164" t="s">
        <v>54</v>
      </c>
      <c r="W164">
        <v>4</v>
      </c>
      <c r="X164" t="s">
        <v>64</v>
      </c>
      <c r="Y164" t="s">
        <v>190</v>
      </c>
      <c r="Z164" t="s">
        <v>190</v>
      </c>
      <c r="AA164">
        <v>23.9</v>
      </c>
      <c r="AB164" t="s">
        <v>61</v>
      </c>
      <c r="AC164" t="s">
        <v>181</v>
      </c>
      <c r="AD164" t="s">
        <v>207</v>
      </c>
      <c r="AE164" t="s">
        <v>192</v>
      </c>
    </row>
    <row r="165" spans="1:31" x14ac:dyDescent="0.3">
      <c r="A165" t="s">
        <v>528</v>
      </c>
      <c r="B165" t="s">
        <v>529</v>
      </c>
      <c r="C165" t="s">
        <v>54</v>
      </c>
      <c r="D165" t="s">
        <v>158</v>
      </c>
      <c r="E165" t="s">
        <v>63</v>
      </c>
      <c r="F165" s="9">
        <v>45854</v>
      </c>
      <c r="G165" s="9">
        <v>45802</v>
      </c>
      <c r="H165" t="s">
        <v>60</v>
      </c>
      <c r="I165" t="s">
        <v>80</v>
      </c>
      <c r="J165" t="s">
        <v>92</v>
      </c>
      <c r="K165" t="s">
        <v>54</v>
      </c>
      <c r="L165" t="s">
        <v>73</v>
      </c>
      <c r="M165" t="s">
        <v>66</v>
      </c>
      <c r="N165">
        <v>4</v>
      </c>
      <c r="O165" t="s">
        <v>64</v>
      </c>
      <c r="P165" t="s">
        <v>54</v>
      </c>
      <c r="Q165" s="9">
        <v>45807</v>
      </c>
      <c r="R165" t="s">
        <v>67</v>
      </c>
      <c r="S165">
        <v>4</v>
      </c>
      <c r="T165">
        <v>2</v>
      </c>
      <c r="U165">
        <v>3</v>
      </c>
      <c r="V165" t="s">
        <v>54</v>
      </c>
      <c r="W165">
        <v>1</v>
      </c>
      <c r="X165" t="s">
        <v>64</v>
      </c>
      <c r="Y165" t="s">
        <v>190</v>
      </c>
      <c r="Z165" t="s">
        <v>242</v>
      </c>
      <c r="AA165">
        <v>19.899999999999999</v>
      </c>
      <c r="AB165" t="s">
        <v>61</v>
      </c>
      <c r="AC165" t="s">
        <v>181</v>
      </c>
      <c r="AD165" t="s">
        <v>201</v>
      </c>
      <c r="AE165" t="s">
        <v>192</v>
      </c>
    </row>
    <row r="166" spans="1:31" x14ac:dyDescent="0.3">
      <c r="A166" t="s">
        <v>530</v>
      </c>
      <c r="B166" t="s">
        <v>531</v>
      </c>
      <c r="C166" t="s">
        <v>54</v>
      </c>
      <c r="D166" t="s">
        <v>158</v>
      </c>
      <c r="E166" t="s">
        <v>53</v>
      </c>
      <c r="F166" s="9">
        <v>45753</v>
      </c>
      <c r="G166" s="9">
        <v>45698</v>
      </c>
      <c r="H166" t="s">
        <v>70</v>
      </c>
      <c r="I166" t="s">
        <v>91</v>
      </c>
      <c r="J166" t="s">
        <v>94</v>
      </c>
      <c r="K166" t="s">
        <v>54</v>
      </c>
      <c r="L166" t="s">
        <v>55</v>
      </c>
      <c r="M166" t="s">
        <v>66</v>
      </c>
      <c r="N166">
        <v>3</v>
      </c>
      <c r="O166" t="s">
        <v>64</v>
      </c>
      <c r="P166" t="s">
        <v>64</v>
      </c>
      <c r="Q166" s="9"/>
      <c r="R166" t="s">
        <v>190</v>
      </c>
      <c r="V166" t="s">
        <v>190</v>
      </c>
      <c r="W166">
        <v>3</v>
      </c>
      <c r="X166" t="s">
        <v>64</v>
      </c>
      <c r="Y166" t="s">
        <v>190</v>
      </c>
      <c r="Z166" t="s">
        <v>190</v>
      </c>
      <c r="AA166">
        <v>29.9</v>
      </c>
      <c r="AB166" t="s">
        <v>71</v>
      </c>
      <c r="AC166" t="s">
        <v>180</v>
      </c>
      <c r="AD166" t="s">
        <v>192</v>
      </c>
      <c r="AE166" t="s">
        <v>192</v>
      </c>
    </row>
    <row r="167" spans="1:31" x14ac:dyDescent="0.3">
      <c r="A167" t="s">
        <v>532</v>
      </c>
      <c r="B167" t="s">
        <v>533</v>
      </c>
      <c r="C167" t="s">
        <v>54</v>
      </c>
      <c r="D167" t="s">
        <v>158</v>
      </c>
      <c r="E167" t="s">
        <v>63</v>
      </c>
      <c r="F167" s="9">
        <v>45813</v>
      </c>
      <c r="G167" s="9">
        <v>45719</v>
      </c>
      <c r="H167" t="s">
        <v>70</v>
      </c>
      <c r="I167" t="s">
        <v>93</v>
      </c>
      <c r="J167" t="s">
        <v>85</v>
      </c>
      <c r="K167" t="s">
        <v>54</v>
      </c>
      <c r="L167" t="s">
        <v>65</v>
      </c>
      <c r="M167" t="s">
        <v>56</v>
      </c>
      <c r="N167">
        <v>5</v>
      </c>
      <c r="O167" t="s">
        <v>64</v>
      </c>
      <c r="P167" t="s">
        <v>54</v>
      </c>
      <c r="Q167" s="9">
        <v>45780</v>
      </c>
      <c r="R167" t="s">
        <v>75</v>
      </c>
      <c r="S167">
        <v>5</v>
      </c>
      <c r="T167">
        <v>1</v>
      </c>
      <c r="U167">
        <v>1</v>
      </c>
      <c r="V167" t="s">
        <v>54</v>
      </c>
      <c r="W167">
        <v>4</v>
      </c>
      <c r="X167" t="s">
        <v>54</v>
      </c>
      <c r="Y167" t="s">
        <v>68</v>
      </c>
      <c r="Z167" t="s">
        <v>534</v>
      </c>
      <c r="AA167">
        <v>11.6</v>
      </c>
      <c r="AB167" t="s">
        <v>71</v>
      </c>
      <c r="AC167" t="s">
        <v>181</v>
      </c>
      <c r="AD167" t="s">
        <v>191</v>
      </c>
      <c r="AE167" t="s">
        <v>243</v>
      </c>
    </row>
    <row r="168" spans="1:31" x14ac:dyDescent="0.3">
      <c r="A168" t="s">
        <v>535</v>
      </c>
      <c r="B168" t="s">
        <v>536</v>
      </c>
      <c r="C168" t="s">
        <v>54</v>
      </c>
      <c r="D168" t="s">
        <v>158</v>
      </c>
      <c r="E168" t="s">
        <v>63</v>
      </c>
      <c r="F168" s="9">
        <v>45846</v>
      </c>
      <c r="G168" s="9">
        <v>45744</v>
      </c>
      <c r="H168" t="s">
        <v>50</v>
      </c>
      <c r="I168" t="s">
        <v>72</v>
      </c>
      <c r="J168" t="s">
        <v>92</v>
      </c>
      <c r="K168" t="s">
        <v>54</v>
      </c>
      <c r="L168" t="s">
        <v>55</v>
      </c>
      <c r="M168" t="s">
        <v>56</v>
      </c>
      <c r="N168">
        <v>5</v>
      </c>
      <c r="O168" t="s">
        <v>64</v>
      </c>
      <c r="P168" t="s">
        <v>64</v>
      </c>
      <c r="Q168" s="9"/>
      <c r="R168" t="s">
        <v>190</v>
      </c>
      <c r="V168" t="s">
        <v>190</v>
      </c>
      <c r="W168">
        <v>4</v>
      </c>
      <c r="X168" t="s">
        <v>64</v>
      </c>
      <c r="Y168" t="s">
        <v>190</v>
      </c>
      <c r="Z168" t="s">
        <v>190</v>
      </c>
      <c r="AA168">
        <v>19.2</v>
      </c>
      <c r="AB168" t="s">
        <v>51</v>
      </c>
      <c r="AC168" t="s">
        <v>181</v>
      </c>
      <c r="AD168" t="s">
        <v>192</v>
      </c>
      <c r="AE168" t="s">
        <v>192</v>
      </c>
    </row>
    <row r="169" spans="1:31" x14ac:dyDescent="0.3">
      <c r="A169" t="s">
        <v>537</v>
      </c>
      <c r="B169" t="s">
        <v>538</v>
      </c>
      <c r="C169" t="s">
        <v>54</v>
      </c>
      <c r="D169" t="s">
        <v>158</v>
      </c>
      <c r="E169" t="s">
        <v>63</v>
      </c>
      <c r="F169" s="9">
        <v>45899</v>
      </c>
      <c r="G169" s="9">
        <v>45762</v>
      </c>
      <c r="H169" t="s">
        <v>78</v>
      </c>
      <c r="I169" t="s">
        <v>96</v>
      </c>
      <c r="J169" t="s">
        <v>92</v>
      </c>
      <c r="K169" t="s">
        <v>54</v>
      </c>
      <c r="L169" t="s">
        <v>55</v>
      </c>
      <c r="M169" t="s">
        <v>56</v>
      </c>
      <c r="N169">
        <v>5</v>
      </c>
      <c r="O169" t="s">
        <v>64</v>
      </c>
      <c r="P169" t="s">
        <v>54</v>
      </c>
      <c r="Q169" s="9">
        <v>45848</v>
      </c>
      <c r="R169" t="s">
        <v>83</v>
      </c>
      <c r="S169">
        <v>5</v>
      </c>
      <c r="T169">
        <v>4</v>
      </c>
      <c r="U169">
        <v>5</v>
      </c>
      <c r="V169" t="s">
        <v>54</v>
      </c>
      <c r="W169">
        <v>3</v>
      </c>
      <c r="X169" t="s">
        <v>64</v>
      </c>
      <c r="Y169" t="s">
        <v>190</v>
      </c>
      <c r="Z169" t="s">
        <v>190</v>
      </c>
      <c r="AA169">
        <v>18.100000000000001</v>
      </c>
      <c r="AB169" t="s">
        <v>79</v>
      </c>
      <c r="AC169" t="s">
        <v>181</v>
      </c>
      <c r="AD169" t="s">
        <v>196</v>
      </c>
      <c r="AE169" t="s">
        <v>192</v>
      </c>
    </row>
    <row r="170" spans="1:31" x14ac:dyDescent="0.3">
      <c r="A170" t="s">
        <v>539</v>
      </c>
      <c r="B170" t="s">
        <v>540</v>
      </c>
      <c r="C170" t="s">
        <v>54</v>
      </c>
      <c r="D170" t="s">
        <v>158</v>
      </c>
      <c r="E170" t="s">
        <v>63</v>
      </c>
      <c r="F170" s="9">
        <v>45752</v>
      </c>
      <c r="G170" s="9">
        <v>45647</v>
      </c>
      <c r="H170" t="s">
        <v>78</v>
      </c>
      <c r="I170" t="s">
        <v>97</v>
      </c>
      <c r="J170" t="s">
        <v>59</v>
      </c>
      <c r="K170" t="s">
        <v>54</v>
      </c>
      <c r="L170" t="s">
        <v>55</v>
      </c>
      <c r="M170" t="s">
        <v>56</v>
      </c>
      <c r="N170">
        <v>7</v>
      </c>
      <c r="O170" t="s">
        <v>64</v>
      </c>
      <c r="P170" t="s">
        <v>54</v>
      </c>
      <c r="Q170" s="9">
        <v>45717</v>
      </c>
      <c r="R170" t="s">
        <v>67</v>
      </c>
      <c r="S170">
        <v>5</v>
      </c>
      <c r="T170">
        <v>1</v>
      </c>
      <c r="U170">
        <v>2</v>
      </c>
      <c r="V170" t="s">
        <v>54</v>
      </c>
      <c r="W170">
        <v>5</v>
      </c>
      <c r="X170" t="s">
        <v>64</v>
      </c>
      <c r="Y170" t="s">
        <v>190</v>
      </c>
      <c r="Z170" t="s">
        <v>190</v>
      </c>
      <c r="AA170">
        <v>19.7</v>
      </c>
      <c r="AB170" t="s">
        <v>79</v>
      </c>
      <c r="AC170" t="s">
        <v>181</v>
      </c>
      <c r="AD170" t="s">
        <v>201</v>
      </c>
      <c r="AE170" t="s">
        <v>192</v>
      </c>
    </row>
    <row r="171" spans="1:31" x14ac:dyDescent="0.3">
      <c r="A171" t="s">
        <v>541</v>
      </c>
      <c r="B171" t="s">
        <v>542</v>
      </c>
      <c r="C171" t="s">
        <v>54</v>
      </c>
      <c r="D171" t="s">
        <v>158</v>
      </c>
      <c r="E171" t="s">
        <v>53</v>
      </c>
      <c r="F171" s="9">
        <v>45882</v>
      </c>
      <c r="G171" s="9">
        <v>45785</v>
      </c>
      <c r="H171" t="s">
        <v>70</v>
      </c>
      <c r="I171" t="s">
        <v>91</v>
      </c>
      <c r="J171" t="s">
        <v>77</v>
      </c>
      <c r="K171" t="s">
        <v>54</v>
      </c>
      <c r="L171" t="s">
        <v>73</v>
      </c>
      <c r="M171" t="s">
        <v>66</v>
      </c>
      <c r="N171">
        <v>6</v>
      </c>
      <c r="O171" t="s">
        <v>64</v>
      </c>
      <c r="P171" t="s">
        <v>54</v>
      </c>
      <c r="Q171" s="9">
        <v>45861</v>
      </c>
      <c r="R171" t="s">
        <v>75</v>
      </c>
      <c r="S171">
        <v>3</v>
      </c>
      <c r="T171">
        <v>2</v>
      </c>
      <c r="U171">
        <v>3</v>
      </c>
      <c r="V171" t="s">
        <v>64</v>
      </c>
      <c r="W171">
        <v>4</v>
      </c>
      <c r="X171" t="s">
        <v>64</v>
      </c>
      <c r="Y171" t="s">
        <v>190</v>
      </c>
      <c r="Z171" t="s">
        <v>190</v>
      </c>
      <c r="AA171">
        <v>14.1</v>
      </c>
      <c r="AB171" t="s">
        <v>71</v>
      </c>
      <c r="AC171" t="s">
        <v>180</v>
      </c>
      <c r="AD171" t="s">
        <v>191</v>
      </c>
      <c r="AE171" t="s">
        <v>192</v>
      </c>
    </row>
    <row r="172" spans="1:31" x14ac:dyDescent="0.3">
      <c r="A172" t="s">
        <v>543</v>
      </c>
      <c r="B172" t="s">
        <v>544</v>
      </c>
      <c r="C172" t="s">
        <v>54</v>
      </c>
      <c r="D172" t="s">
        <v>158</v>
      </c>
      <c r="E172" t="s">
        <v>53</v>
      </c>
      <c r="F172" s="9">
        <v>45896</v>
      </c>
      <c r="G172" s="9">
        <v>45751</v>
      </c>
      <c r="H172" t="s">
        <v>60</v>
      </c>
      <c r="I172" t="s">
        <v>80</v>
      </c>
      <c r="J172" t="s">
        <v>90</v>
      </c>
      <c r="K172" t="s">
        <v>54</v>
      </c>
      <c r="L172" t="s">
        <v>65</v>
      </c>
      <c r="M172" t="s">
        <v>56</v>
      </c>
      <c r="N172">
        <v>6</v>
      </c>
      <c r="O172" t="s">
        <v>64</v>
      </c>
      <c r="P172" t="s">
        <v>54</v>
      </c>
      <c r="Q172" s="9">
        <v>45866</v>
      </c>
      <c r="R172" t="s">
        <v>75</v>
      </c>
      <c r="S172">
        <v>4</v>
      </c>
      <c r="T172">
        <v>4</v>
      </c>
      <c r="U172">
        <v>4</v>
      </c>
      <c r="V172" t="s">
        <v>64</v>
      </c>
      <c r="W172">
        <v>5</v>
      </c>
      <c r="X172" t="s">
        <v>64</v>
      </c>
      <c r="Y172" t="s">
        <v>190</v>
      </c>
      <c r="Z172" t="s">
        <v>190</v>
      </c>
      <c r="AA172">
        <v>10.1</v>
      </c>
      <c r="AB172" t="s">
        <v>61</v>
      </c>
      <c r="AC172" t="s">
        <v>180</v>
      </c>
      <c r="AD172" t="s">
        <v>191</v>
      </c>
      <c r="AE172" t="s">
        <v>192</v>
      </c>
    </row>
    <row r="173" spans="1:31" x14ac:dyDescent="0.3">
      <c r="A173" t="s">
        <v>545</v>
      </c>
      <c r="B173" t="s">
        <v>546</v>
      </c>
      <c r="C173" t="s">
        <v>54</v>
      </c>
      <c r="D173" t="s">
        <v>158</v>
      </c>
      <c r="E173" t="s">
        <v>63</v>
      </c>
      <c r="F173" s="9">
        <v>45873</v>
      </c>
      <c r="G173" s="9">
        <v>45816</v>
      </c>
      <c r="H173" t="s">
        <v>50</v>
      </c>
      <c r="I173" t="s">
        <v>52</v>
      </c>
      <c r="J173" t="s">
        <v>59</v>
      </c>
      <c r="K173" t="s">
        <v>54</v>
      </c>
      <c r="L173" t="s">
        <v>81</v>
      </c>
      <c r="M173" t="s">
        <v>56</v>
      </c>
      <c r="N173">
        <v>4</v>
      </c>
      <c r="O173" t="s">
        <v>64</v>
      </c>
      <c r="P173" t="s">
        <v>64</v>
      </c>
      <c r="Q173" s="9"/>
      <c r="R173" t="s">
        <v>190</v>
      </c>
      <c r="V173" t="s">
        <v>190</v>
      </c>
      <c r="W173">
        <v>4</v>
      </c>
      <c r="X173" t="s">
        <v>64</v>
      </c>
      <c r="Y173" t="s">
        <v>190</v>
      </c>
      <c r="Z173" t="s">
        <v>190</v>
      </c>
      <c r="AA173">
        <v>7.1</v>
      </c>
      <c r="AB173" t="s">
        <v>51</v>
      </c>
      <c r="AC173" t="s">
        <v>181</v>
      </c>
      <c r="AD173" t="s">
        <v>192</v>
      </c>
      <c r="AE173" t="s">
        <v>192</v>
      </c>
    </row>
    <row r="174" spans="1:31" x14ac:dyDescent="0.3">
      <c r="A174" t="s">
        <v>547</v>
      </c>
      <c r="B174" t="s">
        <v>548</v>
      </c>
      <c r="C174" t="s">
        <v>54</v>
      </c>
      <c r="D174" t="s">
        <v>158</v>
      </c>
      <c r="E174" t="s">
        <v>53</v>
      </c>
      <c r="F174" s="9">
        <v>45874</v>
      </c>
      <c r="G174" s="9">
        <v>45767</v>
      </c>
      <c r="H174" t="s">
        <v>78</v>
      </c>
      <c r="I174" t="s">
        <v>96</v>
      </c>
      <c r="J174" t="s">
        <v>59</v>
      </c>
      <c r="K174" t="s">
        <v>54</v>
      </c>
      <c r="L174" t="s">
        <v>73</v>
      </c>
      <c r="M174" t="s">
        <v>66</v>
      </c>
      <c r="N174">
        <v>4</v>
      </c>
      <c r="O174" t="s">
        <v>54</v>
      </c>
      <c r="P174" t="s">
        <v>54</v>
      </c>
      <c r="Q174" s="9">
        <v>45781</v>
      </c>
      <c r="R174" t="s">
        <v>57</v>
      </c>
      <c r="S174">
        <v>4</v>
      </c>
      <c r="T174">
        <v>1</v>
      </c>
      <c r="U174">
        <v>3</v>
      </c>
      <c r="V174" t="s">
        <v>54</v>
      </c>
      <c r="W174">
        <v>5</v>
      </c>
      <c r="X174" t="s">
        <v>64</v>
      </c>
      <c r="Y174" t="s">
        <v>190</v>
      </c>
      <c r="Z174" t="s">
        <v>190</v>
      </c>
      <c r="AA174">
        <v>19.100000000000001</v>
      </c>
      <c r="AB174" t="s">
        <v>79</v>
      </c>
      <c r="AC174" t="s">
        <v>180</v>
      </c>
      <c r="AD174" t="s">
        <v>207</v>
      </c>
      <c r="AE174" t="s">
        <v>192</v>
      </c>
    </row>
    <row r="175" spans="1:31" x14ac:dyDescent="0.3">
      <c r="A175" t="s">
        <v>549</v>
      </c>
      <c r="B175" t="s">
        <v>550</v>
      </c>
      <c r="C175" t="s">
        <v>54</v>
      </c>
      <c r="D175" t="s">
        <v>158</v>
      </c>
      <c r="E175" t="s">
        <v>63</v>
      </c>
      <c r="F175" s="9">
        <v>45788</v>
      </c>
      <c r="G175" s="9">
        <v>45728</v>
      </c>
      <c r="H175" t="s">
        <v>60</v>
      </c>
      <c r="I175" t="s">
        <v>86</v>
      </c>
      <c r="J175" t="s">
        <v>69</v>
      </c>
      <c r="K175" t="s">
        <v>54</v>
      </c>
      <c r="L175" t="s">
        <v>55</v>
      </c>
      <c r="M175" t="s">
        <v>66</v>
      </c>
      <c r="N175">
        <v>7</v>
      </c>
      <c r="O175" t="s">
        <v>64</v>
      </c>
      <c r="P175" t="s">
        <v>64</v>
      </c>
      <c r="Q175" s="9"/>
      <c r="R175" t="s">
        <v>190</v>
      </c>
      <c r="V175" t="s">
        <v>190</v>
      </c>
      <c r="W175">
        <v>5</v>
      </c>
      <c r="X175" t="s">
        <v>54</v>
      </c>
      <c r="Y175" t="s">
        <v>58</v>
      </c>
      <c r="Z175" t="s">
        <v>190</v>
      </c>
      <c r="AA175">
        <v>21.3</v>
      </c>
      <c r="AB175" t="s">
        <v>61</v>
      </c>
      <c r="AC175" t="s">
        <v>181</v>
      </c>
      <c r="AD175" t="s">
        <v>192</v>
      </c>
      <c r="AE175" t="s">
        <v>222</v>
      </c>
    </row>
    <row r="176" spans="1:31" x14ac:dyDescent="0.3">
      <c r="A176" t="s">
        <v>551</v>
      </c>
      <c r="B176" t="s">
        <v>552</v>
      </c>
      <c r="C176" t="s">
        <v>54</v>
      </c>
      <c r="D176" t="s">
        <v>158</v>
      </c>
      <c r="E176" t="s">
        <v>63</v>
      </c>
      <c r="F176" s="9">
        <v>45812</v>
      </c>
      <c r="G176" s="9">
        <v>45679</v>
      </c>
      <c r="H176" t="s">
        <v>70</v>
      </c>
      <c r="I176" t="s">
        <v>95</v>
      </c>
      <c r="J176" t="s">
        <v>85</v>
      </c>
      <c r="K176" t="s">
        <v>54</v>
      </c>
      <c r="L176" t="s">
        <v>65</v>
      </c>
      <c r="M176" t="s">
        <v>56</v>
      </c>
      <c r="N176">
        <v>4</v>
      </c>
      <c r="O176" t="s">
        <v>54</v>
      </c>
      <c r="P176" t="s">
        <v>54</v>
      </c>
      <c r="Q176" s="9">
        <v>45812</v>
      </c>
      <c r="R176" t="s">
        <v>75</v>
      </c>
      <c r="S176">
        <v>5</v>
      </c>
      <c r="T176">
        <v>2</v>
      </c>
      <c r="U176">
        <v>3</v>
      </c>
      <c r="V176" t="s">
        <v>64</v>
      </c>
      <c r="W176">
        <v>2</v>
      </c>
      <c r="X176" t="s">
        <v>64</v>
      </c>
      <c r="Y176" t="s">
        <v>190</v>
      </c>
      <c r="Z176" t="s">
        <v>242</v>
      </c>
      <c r="AA176">
        <v>21.8</v>
      </c>
      <c r="AB176" t="s">
        <v>71</v>
      </c>
      <c r="AC176" t="s">
        <v>181</v>
      </c>
      <c r="AD176" t="s">
        <v>191</v>
      </c>
      <c r="AE176" t="s">
        <v>192</v>
      </c>
    </row>
    <row r="177" spans="1:31" x14ac:dyDescent="0.3">
      <c r="A177" t="s">
        <v>553</v>
      </c>
      <c r="B177" t="s">
        <v>554</v>
      </c>
      <c r="C177" t="s">
        <v>54</v>
      </c>
      <c r="D177" t="s">
        <v>158</v>
      </c>
      <c r="E177" t="s">
        <v>63</v>
      </c>
      <c r="F177" s="9">
        <v>45891</v>
      </c>
      <c r="G177" s="9">
        <v>45784</v>
      </c>
      <c r="H177" t="s">
        <v>60</v>
      </c>
      <c r="I177" t="s">
        <v>89</v>
      </c>
      <c r="J177" t="s">
        <v>85</v>
      </c>
      <c r="K177" t="s">
        <v>54</v>
      </c>
      <c r="L177" t="s">
        <v>55</v>
      </c>
      <c r="M177" t="s">
        <v>66</v>
      </c>
      <c r="N177">
        <v>2</v>
      </c>
      <c r="O177" t="s">
        <v>64</v>
      </c>
      <c r="P177" t="s">
        <v>54</v>
      </c>
      <c r="Q177" s="9">
        <v>45787</v>
      </c>
      <c r="R177" t="s">
        <v>57</v>
      </c>
      <c r="S177">
        <v>2</v>
      </c>
      <c r="T177">
        <v>3</v>
      </c>
      <c r="U177">
        <v>4</v>
      </c>
      <c r="V177" t="s">
        <v>64</v>
      </c>
      <c r="W177">
        <v>2</v>
      </c>
      <c r="X177" t="s">
        <v>64</v>
      </c>
      <c r="Y177" t="s">
        <v>190</v>
      </c>
      <c r="Z177" t="s">
        <v>472</v>
      </c>
      <c r="AA177">
        <v>19.399999999999999</v>
      </c>
      <c r="AB177" t="s">
        <v>61</v>
      </c>
      <c r="AC177" t="s">
        <v>181</v>
      </c>
      <c r="AD177" t="s">
        <v>207</v>
      </c>
      <c r="AE177" t="s">
        <v>192</v>
      </c>
    </row>
    <row r="178" spans="1:31" x14ac:dyDescent="0.3">
      <c r="A178" t="s">
        <v>555</v>
      </c>
      <c r="B178" t="s">
        <v>556</v>
      </c>
      <c r="C178" t="s">
        <v>54</v>
      </c>
      <c r="D178" t="s">
        <v>158</v>
      </c>
      <c r="E178" t="s">
        <v>190</v>
      </c>
      <c r="F178" s="9"/>
      <c r="G178" s="9"/>
      <c r="H178" t="s">
        <v>190</v>
      </c>
      <c r="I178" t="s">
        <v>190</v>
      </c>
      <c r="J178" t="s">
        <v>190</v>
      </c>
      <c r="K178" t="s">
        <v>64</v>
      </c>
      <c r="L178" t="s">
        <v>190</v>
      </c>
      <c r="M178" t="s">
        <v>190</v>
      </c>
      <c r="O178" t="s">
        <v>190</v>
      </c>
      <c r="P178" t="s">
        <v>190</v>
      </c>
      <c r="Q178" s="9"/>
      <c r="R178" t="s">
        <v>190</v>
      </c>
      <c r="V178" t="s">
        <v>190</v>
      </c>
      <c r="X178" t="s">
        <v>190</v>
      </c>
      <c r="Y178" t="s">
        <v>190</v>
      </c>
      <c r="Z178" t="s">
        <v>190</v>
      </c>
      <c r="AB178" t="s">
        <v>192</v>
      </c>
      <c r="AC178" t="s">
        <v>192</v>
      </c>
      <c r="AD178" t="s">
        <v>192</v>
      </c>
      <c r="AE178" t="s">
        <v>192</v>
      </c>
    </row>
    <row r="179" spans="1:31" x14ac:dyDescent="0.3">
      <c r="A179" t="s">
        <v>557</v>
      </c>
      <c r="B179" t="s">
        <v>558</v>
      </c>
      <c r="C179" t="s">
        <v>54</v>
      </c>
      <c r="D179" t="s">
        <v>158</v>
      </c>
      <c r="E179" t="s">
        <v>63</v>
      </c>
      <c r="F179" s="9">
        <v>45821</v>
      </c>
      <c r="G179" s="9">
        <v>45692</v>
      </c>
      <c r="H179" t="s">
        <v>60</v>
      </c>
      <c r="I179" t="s">
        <v>89</v>
      </c>
      <c r="J179" t="s">
        <v>85</v>
      </c>
      <c r="K179" t="s">
        <v>54</v>
      </c>
      <c r="L179" t="s">
        <v>55</v>
      </c>
      <c r="M179" t="s">
        <v>66</v>
      </c>
      <c r="N179">
        <v>1</v>
      </c>
      <c r="O179" t="s">
        <v>64</v>
      </c>
      <c r="P179" t="s">
        <v>54</v>
      </c>
      <c r="Q179" s="9">
        <v>45768</v>
      </c>
      <c r="R179" t="s">
        <v>75</v>
      </c>
      <c r="S179">
        <v>4</v>
      </c>
      <c r="T179">
        <v>3</v>
      </c>
      <c r="U179">
        <v>4</v>
      </c>
      <c r="V179" t="s">
        <v>54</v>
      </c>
      <c r="W179">
        <v>5</v>
      </c>
      <c r="X179" t="s">
        <v>64</v>
      </c>
      <c r="Y179" t="s">
        <v>190</v>
      </c>
      <c r="Z179" t="s">
        <v>190</v>
      </c>
      <c r="AA179">
        <v>14.4</v>
      </c>
      <c r="AB179" t="s">
        <v>61</v>
      </c>
      <c r="AC179" t="s">
        <v>181</v>
      </c>
      <c r="AD179" t="s">
        <v>191</v>
      </c>
      <c r="AE179" t="s">
        <v>192</v>
      </c>
    </row>
    <row r="180" spans="1:31" x14ac:dyDescent="0.3">
      <c r="A180" t="s">
        <v>559</v>
      </c>
      <c r="B180" t="s">
        <v>560</v>
      </c>
      <c r="C180" t="s">
        <v>54</v>
      </c>
      <c r="D180" t="s">
        <v>158</v>
      </c>
      <c r="E180" t="s">
        <v>53</v>
      </c>
      <c r="F180" s="9">
        <v>45831</v>
      </c>
      <c r="G180" s="9">
        <v>45738</v>
      </c>
      <c r="H180" t="s">
        <v>78</v>
      </c>
      <c r="I180" t="s">
        <v>96</v>
      </c>
      <c r="J180" t="s">
        <v>59</v>
      </c>
      <c r="K180" t="s">
        <v>54</v>
      </c>
      <c r="L180" t="s">
        <v>65</v>
      </c>
      <c r="M180" t="s">
        <v>56</v>
      </c>
      <c r="N180">
        <v>6</v>
      </c>
      <c r="O180" t="s">
        <v>64</v>
      </c>
      <c r="P180" t="s">
        <v>54</v>
      </c>
      <c r="Q180" s="9">
        <v>45825</v>
      </c>
      <c r="R180" t="s">
        <v>75</v>
      </c>
      <c r="S180">
        <v>3</v>
      </c>
      <c r="T180">
        <v>2</v>
      </c>
      <c r="U180">
        <v>3</v>
      </c>
      <c r="V180" t="s">
        <v>54</v>
      </c>
      <c r="W180">
        <v>5</v>
      </c>
      <c r="X180" t="s">
        <v>64</v>
      </c>
      <c r="Y180" t="s">
        <v>190</v>
      </c>
      <c r="Z180" t="s">
        <v>190</v>
      </c>
      <c r="AA180">
        <v>20.7</v>
      </c>
      <c r="AB180" t="s">
        <v>79</v>
      </c>
      <c r="AC180" t="s">
        <v>180</v>
      </c>
      <c r="AD180" t="s">
        <v>191</v>
      </c>
      <c r="AE180" t="s">
        <v>192</v>
      </c>
    </row>
    <row r="181" spans="1:31" x14ac:dyDescent="0.3">
      <c r="A181" t="s">
        <v>561</v>
      </c>
      <c r="B181" t="s">
        <v>562</v>
      </c>
      <c r="C181" t="s">
        <v>54</v>
      </c>
      <c r="D181" t="s">
        <v>158</v>
      </c>
      <c r="E181" t="s">
        <v>53</v>
      </c>
      <c r="F181" s="9">
        <v>45787</v>
      </c>
      <c r="G181" s="9">
        <v>45702</v>
      </c>
      <c r="H181" t="s">
        <v>78</v>
      </c>
      <c r="I181" t="s">
        <v>98</v>
      </c>
      <c r="J181" t="s">
        <v>94</v>
      </c>
      <c r="K181" t="s">
        <v>54</v>
      </c>
      <c r="L181" t="s">
        <v>73</v>
      </c>
      <c r="M181" t="s">
        <v>56</v>
      </c>
      <c r="N181">
        <v>3</v>
      </c>
      <c r="O181" t="s">
        <v>64</v>
      </c>
      <c r="P181" t="s">
        <v>54</v>
      </c>
      <c r="Q181" s="9">
        <v>45744</v>
      </c>
      <c r="R181" t="s">
        <v>67</v>
      </c>
      <c r="S181">
        <v>4</v>
      </c>
      <c r="T181">
        <v>3</v>
      </c>
      <c r="U181">
        <v>3</v>
      </c>
      <c r="V181" t="s">
        <v>54</v>
      </c>
      <c r="W181">
        <v>3</v>
      </c>
      <c r="X181" t="s">
        <v>64</v>
      </c>
      <c r="Y181" t="s">
        <v>190</v>
      </c>
      <c r="Z181" t="s">
        <v>190</v>
      </c>
      <c r="AA181">
        <v>19.5</v>
      </c>
      <c r="AB181" t="s">
        <v>79</v>
      </c>
      <c r="AC181" t="s">
        <v>180</v>
      </c>
      <c r="AD181" t="s">
        <v>201</v>
      </c>
      <c r="AE181" t="s">
        <v>192</v>
      </c>
    </row>
    <row r="182" spans="1:31" x14ac:dyDescent="0.3">
      <c r="A182" t="s">
        <v>563</v>
      </c>
      <c r="B182" t="s">
        <v>564</v>
      </c>
      <c r="C182" t="s">
        <v>54</v>
      </c>
      <c r="D182" t="s">
        <v>158</v>
      </c>
      <c r="E182" t="s">
        <v>63</v>
      </c>
      <c r="F182" s="9">
        <v>45784</v>
      </c>
      <c r="G182" s="9">
        <v>45733</v>
      </c>
      <c r="H182" t="s">
        <v>60</v>
      </c>
      <c r="I182" t="s">
        <v>89</v>
      </c>
      <c r="J182" t="s">
        <v>88</v>
      </c>
      <c r="K182" t="s">
        <v>54</v>
      </c>
      <c r="L182" t="s">
        <v>65</v>
      </c>
      <c r="M182" t="s">
        <v>66</v>
      </c>
      <c r="N182">
        <v>6</v>
      </c>
      <c r="O182" t="s">
        <v>64</v>
      </c>
      <c r="P182" t="s">
        <v>64</v>
      </c>
      <c r="Q182" s="9"/>
      <c r="R182" t="s">
        <v>190</v>
      </c>
      <c r="V182" t="s">
        <v>190</v>
      </c>
      <c r="W182">
        <v>5</v>
      </c>
      <c r="X182" t="s">
        <v>64</v>
      </c>
      <c r="Y182" t="s">
        <v>190</v>
      </c>
      <c r="Z182" t="s">
        <v>190</v>
      </c>
      <c r="AA182">
        <v>24</v>
      </c>
      <c r="AB182" t="s">
        <v>61</v>
      </c>
      <c r="AC182" t="s">
        <v>181</v>
      </c>
      <c r="AD182" t="s">
        <v>192</v>
      </c>
      <c r="AE182" t="s">
        <v>192</v>
      </c>
    </row>
    <row r="183" spans="1:31" x14ac:dyDescent="0.3">
      <c r="A183" t="s">
        <v>565</v>
      </c>
      <c r="B183" t="s">
        <v>566</v>
      </c>
      <c r="C183" t="s">
        <v>54</v>
      </c>
      <c r="D183" t="s">
        <v>158</v>
      </c>
      <c r="E183" t="s">
        <v>53</v>
      </c>
      <c r="F183" s="9">
        <v>45919</v>
      </c>
      <c r="G183" s="9">
        <v>45844</v>
      </c>
      <c r="H183" t="s">
        <v>50</v>
      </c>
      <c r="I183" t="s">
        <v>52</v>
      </c>
      <c r="J183" t="s">
        <v>85</v>
      </c>
      <c r="K183" t="s">
        <v>54</v>
      </c>
      <c r="L183" t="s">
        <v>55</v>
      </c>
      <c r="M183" t="s">
        <v>56</v>
      </c>
      <c r="N183">
        <v>3</v>
      </c>
      <c r="O183" t="s">
        <v>64</v>
      </c>
      <c r="P183" t="s">
        <v>64</v>
      </c>
      <c r="Q183" s="9"/>
      <c r="R183" t="s">
        <v>190</v>
      </c>
      <c r="V183" t="s">
        <v>190</v>
      </c>
      <c r="W183">
        <v>4</v>
      </c>
      <c r="X183" t="s">
        <v>54</v>
      </c>
      <c r="Y183" t="s">
        <v>76</v>
      </c>
      <c r="Z183" t="s">
        <v>190</v>
      </c>
      <c r="AA183">
        <v>21</v>
      </c>
      <c r="AB183" t="s">
        <v>51</v>
      </c>
      <c r="AC183" t="s">
        <v>180</v>
      </c>
      <c r="AD183" t="s">
        <v>192</v>
      </c>
      <c r="AE183" t="s">
        <v>237</v>
      </c>
    </row>
    <row r="184" spans="1:31" x14ac:dyDescent="0.3">
      <c r="A184" t="s">
        <v>567</v>
      </c>
      <c r="B184" t="s">
        <v>568</v>
      </c>
      <c r="C184" t="s">
        <v>54</v>
      </c>
      <c r="D184" t="s">
        <v>158</v>
      </c>
      <c r="E184" t="s">
        <v>63</v>
      </c>
      <c r="F184" s="9">
        <v>45923</v>
      </c>
      <c r="G184" s="9">
        <v>45874</v>
      </c>
      <c r="H184" t="s">
        <v>60</v>
      </c>
      <c r="I184" t="s">
        <v>80</v>
      </c>
      <c r="J184" t="s">
        <v>92</v>
      </c>
      <c r="K184" t="s">
        <v>54</v>
      </c>
      <c r="L184" t="s">
        <v>65</v>
      </c>
      <c r="M184" t="s">
        <v>56</v>
      </c>
      <c r="N184">
        <v>7</v>
      </c>
      <c r="O184" t="s">
        <v>54</v>
      </c>
      <c r="P184" t="s">
        <v>54</v>
      </c>
      <c r="Q184" s="9">
        <v>45914</v>
      </c>
      <c r="R184" t="s">
        <v>67</v>
      </c>
      <c r="S184">
        <v>4</v>
      </c>
      <c r="T184">
        <v>3</v>
      </c>
      <c r="U184">
        <v>4</v>
      </c>
      <c r="V184" t="s">
        <v>54</v>
      </c>
      <c r="W184">
        <v>2</v>
      </c>
      <c r="X184" t="s">
        <v>64</v>
      </c>
      <c r="Y184" t="s">
        <v>190</v>
      </c>
      <c r="Z184" t="s">
        <v>190</v>
      </c>
      <c r="AA184">
        <v>8.8000000000000007</v>
      </c>
      <c r="AB184" t="s">
        <v>61</v>
      </c>
      <c r="AC184" t="s">
        <v>181</v>
      </c>
      <c r="AD184" t="s">
        <v>201</v>
      </c>
      <c r="AE184" t="s">
        <v>192</v>
      </c>
    </row>
    <row r="185" spans="1:31" x14ac:dyDescent="0.3">
      <c r="A185" t="s">
        <v>569</v>
      </c>
      <c r="B185" t="s">
        <v>570</v>
      </c>
      <c r="C185" t="s">
        <v>54</v>
      </c>
      <c r="D185" t="s">
        <v>158</v>
      </c>
      <c r="E185" t="s">
        <v>53</v>
      </c>
      <c r="F185" s="9">
        <v>45797</v>
      </c>
      <c r="G185" s="9">
        <v>45651</v>
      </c>
      <c r="H185" t="s">
        <v>50</v>
      </c>
      <c r="I185" t="s">
        <v>72</v>
      </c>
      <c r="J185" t="s">
        <v>59</v>
      </c>
      <c r="K185" t="s">
        <v>54</v>
      </c>
      <c r="L185" t="s">
        <v>81</v>
      </c>
      <c r="M185" t="s">
        <v>56</v>
      </c>
      <c r="N185">
        <v>6</v>
      </c>
      <c r="O185" t="s">
        <v>64</v>
      </c>
      <c r="P185" t="s">
        <v>54</v>
      </c>
      <c r="Q185" s="9">
        <v>45743</v>
      </c>
      <c r="R185" t="s">
        <v>57</v>
      </c>
      <c r="S185">
        <v>5</v>
      </c>
      <c r="T185">
        <v>2</v>
      </c>
      <c r="U185">
        <v>4</v>
      </c>
      <c r="V185" t="s">
        <v>64</v>
      </c>
      <c r="W185">
        <v>2</v>
      </c>
      <c r="X185" t="s">
        <v>54</v>
      </c>
      <c r="Y185" t="s">
        <v>68</v>
      </c>
      <c r="Z185" t="s">
        <v>190</v>
      </c>
      <c r="AA185">
        <v>13.1</v>
      </c>
      <c r="AB185" t="s">
        <v>51</v>
      </c>
      <c r="AC185" t="s">
        <v>180</v>
      </c>
      <c r="AD185" t="s">
        <v>207</v>
      </c>
      <c r="AE185" t="s">
        <v>243</v>
      </c>
    </row>
    <row r="186" spans="1:31" x14ac:dyDescent="0.3">
      <c r="A186" t="s">
        <v>571</v>
      </c>
      <c r="B186" t="s">
        <v>572</v>
      </c>
      <c r="C186" t="s">
        <v>54</v>
      </c>
      <c r="D186" t="s">
        <v>158</v>
      </c>
      <c r="E186" t="s">
        <v>63</v>
      </c>
      <c r="F186" s="9">
        <v>45751</v>
      </c>
      <c r="G186" s="9">
        <v>45611</v>
      </c>
      <c r="H186" t="s">
        <v>60</v>
      </c>
      <c r="I186" t="s">
        <v>86</v>
      </c>
      <c r="J186" t="s">
        <v>92</v>
      </c>
      <c r="K186" t="s">
        <v>54</v>
      </c>
      <c r="L186" t="s">
        <v>65</v>
      </c>
      <c r="M186" t="s">
        <v>56</v>
      </c>
      <c r="N186">
        <v>6</v>
      </c>
      <c r="O186" t="s">
        <v>64</v>
      </c>
      <c r="P186" t="s">
        <v>64</v>
      </c>
      <c r="Q186" s="9"/>
      <c r="R186" t="s">
        <v>190</v>
      </c>
      <c r="V186" t="s">
        <v>190</v>
      </c>
      <c r="W186">
        <v>3</v>
      </c>
      <c r="X186" t="s">
        <v>64</v>
      </c>
      <c r="Y186" t="s">
        <v>190</v>
      </c>
      <c r="Z186" t="s">
        <v>190</v>
      </c>
      <c r="AA186">
        <v>17.7</v>
      </c>
      <c r="AB186" t="s">
        <v>61</v>
      </c>
      <c r="AC186" t="s">
        <v>181</v>
      </c>
      <c r="AD186" t="s">
        <v>192</v>
      </c>
      <c r="AE186" t="s">
        <v>192</v>
      </c>
    </row>
    <row r="187" spans="1:31" x14ac:dyDescent="0.3">
      <c r="A187" t="s">
        <v>573</v>
      </c>
      <c r="B187" t="s">
        <v>574</v>
      </c>
      <c r="C187" t="s">
        <v>54</v>
      </c>
      <c r="D187" t="s">
        <v>158</v>
      </c>
      <c r="E187" t="s">
        <v>53</v>
      </c>
      <c r="F187" s="9">
        <v>45887</v>
      </c>
      <c r="G187" s="9">
        <v>45824</v>
      </c>
      <c r="H187" t="s">
        <v>70</v>
      </c>
      <c r="I187" t="s">
        <v>93</v>
      </c>
      <c r="J187" t="s">
        <v>69</v>
      </c>
      <c r="K187" t="s">
        <v>54</v>
      </c>
      <c r="L187" t="s">
        <v>73</v>
      </c>
      <c r="M187" t="s">
        <v>56</v>
      </c>
      <c r="N187">
        <v>5</v>
      </c>
      <c r="O187" t="s">
        <v>64</v>
      </c>
      <c r="P187" t="s">
        <v>54</v>
      </c>
      <c r="Q187" s="9">
        <v>45884</v>
      </c>
      <c r="R187" t="s">
        <v>75</v>
      </c>
      <c r="S187">
        <v>4</v>
      </c>
      <c r="T187">
        <v>4</v>
      </c>
      <c r="U187">
        <v>4</v>
      </c>
      <c r="V187" t="s">
        <v>54</v>
      </c>
      <c r="W187">
        <v>3</v>
      </c>
      <c r="X187" t="s">
        <v>64</v>
      </c>
      <c r="Y187" t="s">
        <v>190</v>
      </c>
      <c r="Z187" t="s">
        <v>190</v>
      </c>
      <c r="AA187">
        <v>31.6</v>
      </c>
      <c r="AB187" t="s">
        <v>71</v>
      </c>
      <c r="AC187" t="s">
        <v>180</v>
      </c>
      <c r="AD187" t="s">
        <v>191</v>
      </c>
      <c r="AE187" t="s">
        <v>192</v>
      </c>
    </row>
    <row r="188" spans="1:31" x14ac:dyDescent="0.3">
      <c r="A188" t="s">
        <v>575</v>
      </c>
      <c r="B188" t="s">
        <v>576</v>
      </c>
      <c r="C188" t="s">
        <v>54</v>
      </c>
      <c r="D188" t="s">
        <v>158</v>
      </c>
      <c r="E188" t="s">
        <v>53</v>
      </c>
      <c r="F188" s="9">
        <v>45863</v>
      </c>
      <c r="G188" s="9">
        <v>45740</v>
      </c>
      <c r="H188" t="s">
        <v>70</v>
      </c>
      <c r="I188" t="s">
        <v>95</v>
      </c>
      <c r="J188" t="s">
        <v>94</v>
      </c>
      <c r="K188" t="s">
        <v>54</v>
      </c>
      <c r="L188" t="s">
        <v>73</v>
      </c>
      <c r="M188" t="s">
        <v>66</v>
      </c>
      <c r="N188">
        <v>4</v>
      </c>
      <c r="O188" t="s">
        <v>64</v>
      </c>
      <c r="P188" t="s">
        <v>54</v>
      </c>
      <c r="Q188" s="9">
        <v>45845</v>
      </c>
      <c r="R188" t="s">
        <v>57</v>
      </c>
      <c r="S188">
        <v>4</v>
      </c>
      <c r="T188">
        <v>3</v>
      </c>
      <c r="U188">
        <v>5</v>
      </c>
      <c r="V188" t="s">
        <v>54</v>
      </c>
      <c r="W188">
        <v>3</v>
      </c>
      <c r="X188" t="s">
        <v>54</v>
      </c>
      <c r="Y188" t="s">
        <v>68</v>
      </c>
      <c r="Z188" t="s">
        <v>190</v>
      </c>
      <c r="AA188">
        <v>29.2</v>
      </c>
      <c r="AB188" t="s">
        <v>71</v>
      </c>
      <c r="AC188" t="s">
        <v>180</v>
      </c>
      <c r="AD188" t="s">
        <v>207</v>
      </c>
      <c r="AE188" t="s">
        <v>243</v>
      </c>
    </row>
    <row r="189" spans="1:31" x14ac:dyDescent="0.3">
      <c r="A189" t="s">
        <v>577</v>
      </c>
      <c r="B189" t="s">
        <v>578</v>
      </c>
      <c r="C189" t="s">
        <v>54</v>
      </c>
      <c r="D189" t="s">
        <v>158</v>
      </c>
      <c r="E189" t="s">
        <v>53</v>
      </c>
      <c r="F189" s="9">
        <v>45754</v>
      </c>
      <c r="G189" s="9">
        <v>45636</v>
      </c>
      <c r="H189" t="s">
        <v>60</v>
      </c>
      <c r="I189" t="s">
        <v>86</v>
      </c>
      <c r="J189" t="s">
        <v>88</v>
      </c>
      <c r="K189" t="s">
        <v>54</v>
      </c>
      <c r="L189" t="s">
        <v>81</v>
      </c>
      <c r="M189" t="s">
        <v>56</v>
      </c>
      <c r="N189">
        <v>5</v>
      </c>
      <c r="O189" t="s">
        <v>64</v>
      </c>
      <c r="P189" t="s">
        <v>64</v>
      </c>
      <c r="Q189" s="9"/>
      <c r="R189" t="s">
        <v>190</v>
      </c>
      <c r="V189" t="s">
        <v>190</v>
      </c>
      <c r="W189">
        <v>4</v>
      </c>
      <c r="X189" t="s">
        <v>54</v>
      </c>
      <c r="Y189" t="s">
        <v>68</v>
      </c>
      <c r="Z189" t="s">
        <v>190</v>
      </c>
      <c r="AA189">
        <v>16.399999999999999</v>
      </c>
      <c r="AB189" t="s">
        <v>61</v>
      </c>
      <c r="AC189" t="s">
        <v>180</v>
      </c>
      <c r="AD189" t="s">
        <v>192</v>
      </c>
      <c r="AE189" t="s">
        <v>243</v>
      </c>
    </row>
    <row r="190" spans="1:31" x14ac:dyDescent="0.3">
      <c r="A190" t="s">
        <v>579</v>
      </c>
      <c r="B190" t="s">
        <v>580</v>
      </c>
      <c r="C190" t="s">
        <v>54</v>
      </c>
      <c r="D190" t="s">
        <v>158</v>
      </c>
      <c r="E190" t="s">
        <v>63</v>
      </c>
      <c r="F190" s="9">
        <v>45796</v>
      </c>
      <c r="G190" s="9">
        <v>45683</v>
      </c>
      <c r="H190" t="s">
        <v>70</v>
      </c>
      <c r="I190" t="s">
        <v>91</v>
      </c>
      <c r="J190" t="s">
        <v>92</v>
      </c>
      <c r="K190" t="s">
        <v>54</v>
      </c>
      <c r="L190" t="s">
        <v>81</v>
      </c>
      <c r="M190" t="s">
        <v>66</v>
      </c>
      <c r="N190">
        <v>3</v>
      </c>
      <c r="O190" t="s">
        <v>64</v>
      </c>
      <c r="P190" t="s">
        <v>64</v>
      </c>
      <c r="Q190" s="9"/>
      <c r="R190" t="s">
        <v>190</v>
      </c>
      <c r="V190" t="s">
        <v>190</v>
      </c>
      <c r="W190">
        <v>5</v>
      </c>
      <c r="X190" t="s">
        <v>64</v>
      </c>
      <c r="Y190" t="s">
        <v>190</v>
      </c>
      <c r="Z190" t="s">
        <v>190</v>
      </c>
      <c r="AA190">
        <v>21</v>
      </c>
      <c r="AB190" t="s">
        <v>71</v>
      </c>
      <c r="AC190" t="s">
        <v>181</v>
      </c>
      <c r="AD190" t="s">
        <v>192</v>
      </c>
      <c r="AE190" t="s">
        <v>192</v>
      </c>
    </row>
    <row r="191" spans="1:31" x14ac:dyDescent="0.3">
      <c r="A191" t="s">
        <v>581</v>
      </c>
      <c r="B191" t="s">
        <v>582</v>
      </c>
      <c r="C191" t="s">
        <v>54</v>
      </c>
      <c r="D191" t="s">
        <v>158</v>
      </c>
      <c r="E191" t="s">
        <v>53</v>
      </c>
      <c r="F191" s="9">
        <v>45785</v>
      </c>
      <c r="G191" s="9">
        <v>45743</v>
      </c>
      <c r="H191" t="s">
        <v>70</v>
      </c>
      <c r="I191" t="s">
        <v>93</v>
      </c>
      <c r="J191" t="s">
        <v>88</v>
      </c>
      <c r="K191" t="s">
        <v>54</v>
      </c>
      <c r="L191" t="s">
        <v>55</v>
      </c>
      <c r="M191" t="s">
        <v>56</v>
      </c>
      <c r="N191">
        <v>3</v>
      </c>
      <c r="O191" t="s">
        <v>64</v>
      </c>
      <c r="P191" t="s">
        <v>54</v>
      </c>
      <c r="Q191" s="9">
        <v>45769</v>
      </c>
      <c r="R191" t="s">
        <v>57</v>
      </c>
      <c r="S191">
        <v>3</v>
      </c>
      <c r="T191">
        <v>4</v>
      </c>
      <c r="U191">
        <v>5</v>
      </c>
      <c r="V191" t="s">
        <v>64</v>
      </c>
      <c r="W191">
        <v>4</v>
      </c>
      <c r="X191" t="s">
        <v>54</v>
      </c>
      <c r="Y191" t="s">
        <v>68</v>
      </c>
      <c r="Z191" t="s">
        <v>405</v>
      </c>
      <c r="AA191">
        <v>19.899999999999999</v>
      </c>
      <c r="AB191" t="s">
        <v>71</v>
      </c>
      <c r="AC191" t="s">
        <v>180</v>
      </c>
      <c r="AD191" t="s">
        <v>207</v>
      </c>
      <c r="AE191" t="s">
        <v>243</v>
      </c>
    </row>
    <row r="192" spans="1:31" x14ac:dyDescent="0.3">
      <c r="A192" t="s">
        <v>583</v>
      </c>
      <c r="B192" t="s">
        <v>584</v>
      </c>
      <c r="C192" t="s">
        <v>54</v>
      </c>
      <c r="D192" t="s">
        <v>158</v>
      </c>
      <c r="E192" t="s">
        <v>63</v>
      </c>
      <c r="F192" s="9">
        <v>45805</v>
      </c>
      <c r="G192" s="9">
        <v>45765</v>
      </c>
      <c r="H192" t="s">
        <v>78</v>
      </c>
      <c r="I192" t="s">
        <v>97</v>
      </c>
      <c r="J192" t="s">
        <v>94</v>
      </c>
      <c r="K192" t="s">
        <v>54</v>
      </c>
      <c r="L192" t="s">
        <v>73</v>
      </c>
      <c r="M192" t="s">
        <v>66</v>
      </c>
      <c r="N192">
        <v>7</v>
      </c>
      <c r="O192" t="s">
        <v>64</v>
      </c>
      <c r="P192" t="s">
        <v>54</v>
      </c>
      <c r="Q192" s="9">
        <v>45802</v>
      </c>
      <c r="R192" t="s">
        <v>57</v>
      </c>
      <c r="S192">
        <v>5</v>
      </c>
      <c r="T192">
        <v>3</v>
      </c>
      <c r="U192">
        <v>5</v>
      </c>
      <c r="V192" t="s">
        <v>64</v>
      </c>
      <c r="W192">
        <v>3</v>
      </c>
      <c r="X192" t="s">
        <v>64</v>
      </c>
      <c r="Y192" t="s">
        <v>190</v>
      </c>
      <c r="Z192" t="s">
        <v>190</v>
      </c>
      <c r="AA192">
        <v>9.3000000000000007</v>
      </c>
      <c r="AB192" t="s">
        <v>79</v>
      </c>
      <c r="AC192" t="s">
        <v>181</v>
      </c>
      <c r="AD192" t="s">
        <v>207</v>
      </c>
      <c r="AE192" t="s">
        <v>192</v>
      </c>
    </row>
    <row r="193" spans="1:31" x14ac:dyDescent="0.3">
      <c r="A193" t="s">
        <v>585</v>
      </c>
      <c r="B193" t="s">
        <v>586</v>
      </c>
      <c r="C193" t="s">
        <v>54</v>
      </c>
      <c r="D193" t="s">
        <v>158</v>
      </c>
      <c r="E193" t="s">
        <v>53</v>
      </c>
      <c r="F193" s="9">
        <v>45844</v>
      </c>
      <c r="G193" s="9">
        <v>45814</v>
      </c>
      <c r="H193" t="s">
        <v>60</v>
      </c>
      <c r="I193" t="s">
        <v>80</v>
      </c>
      <c r="J193" t="s">
        <v>88</v>
      </c>
      <c r="K193" t="s">
        <v>54</v>
      </c>
      <c r="L193" t="s">
        <v>65</v>
      </c>
      <c r="M193" t="s">
        <v>56</v>
      </c>
      <c r="N193">
        <v>7</v>
      </c>
      <c r="O193" t="s">
        <v>64</v>
      </c>
      <c r="P193" t="s">
        <v>64</v>
      </c>
      <c r="Q193" s="9"/>
      <c r="R193" t="s">
        <v>190</v>
      </c>
      <c r="V193" t="s">
        <v>190</v>
      </c>
      <c r="W193">
        <v>3</v>
      </c>
      <c r="X193" t="s">
        <v>64</v>
      </c>
      <c r="Y193" t="s">
        <v>190</v>
      </c>
      <c r="Z193" t="s">
        <v>190</v>
      </c>
      <c r="AA193">
        <v>15.4</v>
      </c>
      <c r="AB193" t="s">
        <v>61</v>
      </c>
      <c r="AC193" t="s">
        <v>180</v>
      </c>
      <c r="AD193" t="s">
        <v>192</v>
      </c>
      <c r="AE193" t="s">
        <v>192</v>
      </c>
    </row>
    <row r="194" spans="1:31" x14ac:dyDescent="0.3">
      <c r="A194" t="s">
        <v>587</v>
      </c>
      <c r="B194" t="s">
        <v>588</v>
      </c>
      <c r="C194" t="s">
        <v>54</v>
      </c>
      <c r="D194" t="s">
        <v>158</v>
      </c>
      <c r="E194" t="s">
        <v>53</v>
      </c>
      <c r="F194" s="9">
        <v>45802</v>
      </c>
      <c r="G194" s="9">
        <v>45680</v>
      </c>
      <c r="H194" t="s">
        <v>70</v>
      </c>
      <c r="I194" t="s">
        <v>93</v>
      </c>
      <c r="J194" t="s">
        <v>94</v>
      </c>
      <c r="K194" t="s">
        <v>54</v>
      </c>
      <c r="L194" t="s">
        <v>55</v>
      </c>
      <c r="M194" t="s">
        <v>66</v>
      </c>
      <c r="N194">
        <v>6</v>
      </c>
      <c r="O194" t="s">
        <v>64</v>
      </c>
      <c r="P194" t="s">
        <v>54</v>
      </c>
      <c r="Q194" s="9">
        <v>45756</v>
      </c>
      <c r="R194" t="s">
        <v>67</v>
      </c>
      <c r="S194">
        <v>5</v>
      </c>
      <c r="T194">
        <v>3</v>
      </c>
      <c r="U194">
        <v>4</v>
      </c>
      <c r="V194" t="s">
        <v>54</v>
      </c>
      <c r="W194">
        <v>3</v>
      </c>
      <c r="X194" t="s">
        <v>64</v>
      </c>
      <c r="Y194" t="s">
        <v>190</v>
      </c>
      <c r="Z194" t="s">
        <v>405</v>
      </c>
      <c r="AA194">
        <v>18.399999999999999</v>
      </c>
      <c r="AB194" t="s">
        <v>71</v>
      </c>
      <c r="AC194" t="s">
        <v>180</v>
      </c>
      <c r="AD194" t="s">
        <v>201</v>
      </c>
      <c r="AE194" t="s">
        <v>192</v>
      </c>
    </row>
    <row r="195" spans="1:31" x14ac:dyDescent="0.3">
      <c r="A195" t="s">
        <v>589</v>
      </c>
      <c r="B195" t="s">
        <v>590</v>
      </c>
      <c r="C195" t="s">
        <v>54</v>
      </c>
      <c r="D195" t="s">
        <v>158</v>
      </c>
      <c r="E195" t="s">
        <v>63</v>
      </c>
      <c r="F195" s="9">
        <v>45846</v>
      </c>
      <c r="G195" s="9">
        <v>45773</v>
      </c>
      <c r="H195" t="s">
        <v>70</v>
      </c>
      <c r="I195" t="s">
        <v>93</v>
      </c>
      <c r="J195" t="s">
        <v>77</v>
      </c>
      <c r="K195" t="s">
        <v>54</v>
      </c>
      <c r="L195" t="s">
        <v>87</v>
      </c>
      <c r="M195" t="s">
        <v>56</v>
      </c>
      <c r="N195">
        <v>2</v>
      </c>
      <c r="O195" t="s">
        <v>64</v>
      </c>
      <c r="P195" t="s">
        <v>54</v>
      </c>
      <c r="Q195" s="9">
        <v>45803</v>
      </c>
      <c r="R195" t="s">
        <v>75</v>
      </c>
      <c r="S195">
        <v>5</v>
      </c>
      <c r="T195">
        <v>4</v>
      </c>
      <c r="U195">
        <v>4</v>
      </c>
      <c r="V195" t="s">
        <v>54</v>
      </c>
      <c r="W195">
        <v>3</v>
      </c>
      <c r="X195" t="s">
        <v>64</v>
      </c>
      <c r="Y195" t="s">
        <v>190</v>
      </c>
      <c r="Z195" t="s">
        <v>190</v>
      </c>
      <c r="AA195">
        <v>23.4</v>
      </c>
      <c r="AB195" t="s">
        <v>71</v>
      </c>
      <c r="AC195" t="s">
        <v>181</v>
      </c>
      <c r="AD195" t="s">
        <v>191</v>
      </c>
      <c r="AE195" t="s">
        <v>192</v>
      </c>
    </row>
    <row r="196" spans="1:31" x14ac:dyDescent="0.3">
      <c r="A196" t="s">
        <v>591</v>
      </c>
      <c r="B196" t="s">
        <v>592</v>
      </c>
      <c r="C196" t="s">
        <v>54</v>
      </c>
      <c r="D196" t="s">
        <v>158</v>
      </c>
      <c r="E196" t="s">
        <v>63</v>
      </c>
      <c r="F196" s="9">
        <v>45822</v>
      </c>
      <c r="G196" s="9">
        <v>45675</v>
      </c>
      <c r="H196" t="s">
        <v>60</v>
      </c>
      <c r="I196" t="s">
        <v>89</v>
      </c>
      <c r="J196" t="s">
        <v>59</v>
      </c>
      <c r="K196" t="s">
        <v>54</v>
      </c>
      <c r="L196" t="s">
        <v>81</v>
      </c>
      <c r="M196" t="s">
        <v>66</v>
      </c>
      <c r="N196">
        <v>9</v>
      </c>
      <c r="O196" t="s">
        <v>64</v>
      </c>
      <c r="P196" t="s">
        <v>64</v>
      </c>
      <c r="Q196" s="9"/>
      <c r="R196" t="s">
        <v>190</v>
      </c>
      <c r="V196" t="s">
        <v>190</v>
      </c>
      <c r="W196">
        <v>4</v>
      </c>
      <c r="X196" t="s">
        <v>64</v>
      </c>
      <c r="Y196" t="s">
        <v>190</v>
      </c>
      <c r="Z196" t="s">
        <v>190</v>
      </c>
      <c r="AA196">
        <v>20.7</v>
      </c>
      <c r="AB196" t="s">
        <v>61</v>
      </c>
      <c r="AC196" t="s">
        <v>181</v>
      </c>
      <c r="AD196" t="s">
        <v>192</v>
      </c>
      <c r="AE196" t="s">
        <v>192</v>
      </c>
    </row>
    <row r="197" spans="1:31" x14ac:dyDescent="0.3">
      <c r="A197" t="s">
        <v>161</v>
      </c>
      <c r="B197" t="s">
        <v>162</v>
      </c>
      <c r="C197" t="s">
        <v>54</v>
      </c>
      <c r="D197" t="s">
        <v>158</v>
      </c>
      <c r="E197" t="s">
        <v>53</v>
      </c>
      <c r="F197" s="9">
        <v>45873</v>
      </c>
      <c r="G197" s="9">
        <v>45740</v>
      </c>
      <c r="H197" t="s">
        <v>50</v>
      </c>
      <c r="I197" t="s">
        <v>52</v>
      </c>
      <c r="J197" t="s">
        <v>90</v>
      </c>
      <c r="K197" t="s">
        <v>54</v>
      </c>
      <c r="L197" t="s">
        <v>65</v>
      </c>
      <c r="M197" t="s">
        <v>66</v>
      </c>
      <c r="N197">
        <v>4</v>
      </c>
      <c r="O197" t="s">
        <v>54</v>
      </c>
      <c r="P197" t="s">
        <v>64</v>
      </c>
      <c r="Q197" s="9"/>
      <c r="R197" t="s">
        <v>190</v>
      </c>
      <c r="V197" t="s">
        <v>190</v>
      </c>
      <c r="W197">
        <v>5</v>
      </c>
      <c r="X197" t="s">
        <v>64</v>
      </c>
      <c r="Y197" t="s">
        <v>190</v>
      </c>
      <c r="Z197" t="s">
        <v>190</v>
      </c>
      <c r="AA197">
        <v>16.600000000000001</v>
      </c>
      <c r="AB197" t="s">
        <v>51</v>
      </c>
      <c r="AC197" t="s">
        <v>180</v>
      </c>
      <c r="AD197" t="s">
        <v>192</v>
      </c>
      <c r="AE197" t="s">
        <v>192</v>
      </c>
    </row>
    <row r="198" spans="1:31" x14ac:dyDescent="0.3">
      <c r="A198" t="s">
        <v>593</v>
      </c>
      <c r="B198" t="s">
        <v>594</v>
      </c>
      <c r="C198" t="s">
        <v>54</v>
      </c>
      <c r="D198" t="s">
        <v>158</v>
      </c>
      <c r="E198" t="s">
        <v>63</v>
      </c>
      <c r="F198" s="9">
        <v>45803</v>
      </c>
      <c r="G198" s="9">
        <v>45719</v>
      </c>
      <c r="H198" t="s">
        <v>78</v>
      </c>
      <c r="I198" t="s">
        <v>96</v>
      </c>
      <c r="J198" t="s">
        <v>85</v>
      </c>
      <c r="K198" t="s">
        <v>54</v>
      </c>
      <c r="L198" t="s">
        <v>87</v>
      </c>
      <c r="M198" t="s">
        <v>56</v>
      </c>
      <c r="N198">
        <v>4</v>
      </c>
      <c r="O198" t="s">
        <v>64</v>
      </c>
      <c r="P198" t="s">
        <v>54</v>
      </c>
      <c r="Q198" s="9">
        <v>45756</v>
      </c>
      <c r="R198" t="s">
        <v>57</v>
      </c>
      <c r="S198">
        <v>5</v>
      </c>
      <c r="T198">
        <v>1</v>
      </c>
      <c r="U198">
        <v>1</v>
      </c>
      <c r="V198" t="s">
        <v>54</v>
      </c>
      <c r="W198">
        <v>4</v>
      </c>
      <c r="X198" t="s">
        <v>54</v>
      </c>
      <c r="Y198" t="s">
        <v>58</v>
      </c>
      <c r="Z198" t="s">
        <v>190</v>
      </c>
      <c r="AA198">
        <v>22</v>
      </c>
      <c r="AB198" t="s">
        <v>79</v>
      </c>
      <c r="AC198" t="s">
        <v>181</v>
      </c>
      <c r="AD198" t="s">
        <v>207</v>
      </c>
      <c r="AE198" t="s">
        <v>222</v>
      </c>
    </row>
    <row r="199" spans="1:31" x14ac:dyDescent="0.3">
      <c r="A199" t="s">
        <v>595</v>
      </c>
      <c r="B199" t="s">
        <v>596</v>
      </c>
      <c r="C199" t="s">
        <v>54</v>
      </c>
      <c r="D199" t="s">
        <v>158</v>
      </c>
      <c r="E199" t="s">
        <v>53</v>
      </c>
      <c r="F199" s="9">
        <v>45798</v>
      </c>
      <c r="G199" s="9">
        <v>45750</v>
      </c>
      <c r="H199" t="s">
        <v>60</v>
      </c>
      <c r="I199" t="s">
        <v>86</v>
      </c>
      <c r="J199" t="s">
        <v>85</v>
      </c>
      <c r="K199" t="s">
        <v>54</v>
      </c>
      <c r="L199" t="s">
        <v>73</v>
      </c>
      <c r="M199" t="s">
        <v>56</v>
      </c>
      <c r="N199">
        <v>4</v>
      </c>
      <c r="O199" t="s">
        <v>64</v>
      </c>
      <c r="P199" t="s">
        <v>64</v>
      </c>
      <c r="Q199" s="9"/>
      <c r="R199" t="s">
        <v>190</v>
      </c>
      <c r="V199" t="s">
        <v>190</v>
      </c>
      <c r="W199">
        <v>3</v>
      </c>
      <c r="X199" t="s">
        <v>64</v>
      </c>
      <c r="Y199" t="s">
        <v>190</v>
      </c>
      <c r="Z199" t="s">
        <v>190</v>
      </c>
      <c r="AA199">
        <v>24</v>
      </c>
      <c r="AB199" t="s">
        <v>61</v>
      </c>
      <c r="AC199" t="s">
        <v>180</v>
      </c>
      <c r="AD199" t="s">
        <v>192</v>
      </c>
      <c r="AE199" t="s">
        <v>192</v>
      </c>
    </row>
    <row r="200" spans="1:31" x14ac:dyDescent="0.3">
      <c r="A200" t="s">
        <v>597</v>
      </c>
      <c r="B200" t="s">
        <v>598</v>
      </c>
      <c r="C200" t="s">
        <v>54</v>
      </c>
      <c r="D200" t="s">
        <v>158</v>
      </c>
      <c r="E200" t="s">
        <v>53</v>
      </c>
      <c r="F200" s="9">
        <v>45872</v>
      </c>
      <c r="G200" s="9">
        <v>45811</v>
      </c>
      <c r="H200" t="s">
        <v>60</v>
      </c>
      <c r="I200" t="s">
        <v>80</v>
      </c>
      <c r="J200" t="s">
        <v>94</v>
      </c>
      <c r="K200" t="s">
        <v>54</v>
      </c>
      <c r="L200" t="s">
        <v>81</v>
      </c>
      <c r="M200" t="s">
        <v>66</v>
      </c>
      <c r="N200">
        <v>6</v>
      </c>
      <c r="O200" t="s">
        <v>64</v>
      </c>
      <c r="P200" t="s">
        <v>54</v>
      </c>
      <c r="Q200" s="9">
        <v>45831</v>
      </c>
      <c r="R200" t="s">
        <v>75</v>
      </c>
      <c r="S200">
        <v>5</v>
      </c>
      <c r="T200">
        <v>1</v>
      </c>
      <c r="U200">
        <v>1</v>
      </c>
      <c r="V200" t="s">
        <v>64</v>
      </c>
      <c r="W200">
        <v>1</v>
      </c>
      <c r="X200" t="s">
        <v>64</v>
      </c>
      <c r="Y200" t="s">
        <v>190</v>
      </c>
      <c r="Z200" t="s">
        <v>190</v>
      </c>
      <c r="AA200">
        <v>26.5</v>
      </c>
      <c r="AB200" t="s">
        <v>61</v>
      </c>
      <c r="AC200" t="s">
        <v>180</v>
      </c>
      <c r="AD200" t="s">
        <v>191</v>
      </c>
      <c r="AE200" t="s">
        <v>192</v>
      </c>
    </row>
    <row r="201" spans="1:31" x14ac:dyDescent="0.3">
      <c r="A201" t="s">
        <v>599</v>
      </c>
      <c r="B201" t="s">
        <v>600</v>
      </c>
      <c r="C201" t="s">
        <v>54</v>
      </c>
      <c r="D201" t="s">
        <v>158</v>
      </c>
      <c r="E201" t="s">
        <v>63</v>
      </c>
      <c r="F201" s="9">
        <v>45749</v>
      </c>
      <c r="G201" s="9">
        <v>45620</v>
      </c>
      <c r="H201" t="s">
        <v>50</v>
      </c>
      <c r="I201" t="s">
        <v>62</v>
      </c>
      <c r="J201" t="s">
        <v>59</v>
      </c>
      <c r="K201" t="s">
        <v>54</v>
      </c>
      <c r="L201" t="s">
        <v>81</v>
      </c>
      <c r="M201" t="s">
        <v>66</v>
      </c>
      <c r="N201">
        <v>4</v>
      </c>
      <c r="O201" t="s">
        <v>64</v>
      </c>
      <c r="P201" t="s">
        <v>54</v>
      </c>
      <c r="Q201" s="9">
        <v>45674</v>
      </c>
      <c r="R201" t="s">
        <v>67</v>
      </c>
      <c r="S201">
        <v>4</v>
      </c>
      <c r="T201">
        <v>2</v>
      </c>
      <c r="U201">
        <v>2</v>
      </c>
      <c r="V201" t="s">
        <v>64</v>
      </c>
      <c r="W201">
        <v>1</v>
      </c>
      <c r="X201" t="s">
        <v>64</v>
      </c>
      <c r="Y201" t="s">
        <v>190</v>
      </c>
      <c r="Z201" t="s">
        <v>190</v>
      </c>
      <c r="AA201">
        <v>10.3</v>
      </c>
      <c r="AB201" t="s">
        <v>51</v>
      </c>
      <c r="AC201" t="s">
        <v>181</v>
      </c>
      <c r="AD201" t="s">
        <v>201</v>
      </c>
      <c r="AE201" t="s">
        <v>192</v>
      </c>
    </row>
    <row r="202" spans="1:31" x14ac:dyDescent="0.3">
      <c r="A202" t="s">
        <v>601</v>
      </c>
      <c r="B202" t="s">
        <v>602</v>
      </c>
      <c r="C202" t="s">
        <v>54</v>
      </c>
      <c r="D202" t="s">
        <v>158</v>
      </c>
      <c r="E202" t="s">
        <v>63</v>
      </c>
      <c r="F202" s="9">
        <v>45841</v>
      </c>
      <c r="G202" s="9">
        <v>45743</v>
      </c>
      <c r="H202" t="s">
        <v>60</v>
      </c>
      <c r="I202" t="s">
        <v>80</v>
      </c>
      <c r="J202" t="s">
        <v>94</v>
      </c>
      <c r="K202" t="s">
        <v>54</v>
      </c>
      <c r="L202" t="s">
        <v>81</v>
      </c>
      <c r="M202" t="s">
        <v>66</v>
      </c>
      <c r="N202">
        <v>5</v>
      </c>
      <c r="O202" t="s">
        <v>54</v>
      </c>
      <c r="P202" t="s">
        <v>54</v>
      </c>
      <c r="Q202" s="9">
        <v>45779</v>
      </c>
      <c r="R202" t="s">
        <v>75</v>
      </c>
      <c r="S202">
        <v>4</v>
      </c>
      <c r="T202">
        <v>1</v>
      </c>
      <c r="U202">
        <v>2</v>
      </c>
      <c r="V202" t="s">
        <v>64</v>
      </c>
      <c r="W202">
        <v>2</v>
      </c>
      <c r="X202" t="s">
        <v>64</v>
      </c>
      <c r="Y202" t="s">
        <v>190</v>
      </c>
      <c r="Z202" t="s">
        <v>190</v>
      </c>
      <c r="AA202">
        <v>18.600000000000001</v>
      </c>
      <c r="AB202" t="s">
        <v>61</v>
      </c>
      <c r="AC202" t="s">
        <v>181</v>
      </c>
      <c r="AD202" t="s">
        <v>191</v>
      </c>
      <c r="AE202" t="s">
        <v>192</v>
      </c>
    </row>
    <row r="203" spans="1:31" x14ac:dyDescent="0.3">
      <c r="A203" t="s">
        <v>603</v>
      </c>
      <c r="B203" t="s">
        <v>604</v>
      </c>
      <c r="C203" t="s">
        <v>54</v>
      </c>
      <c r="D203" t="s">
        <v>158</v>
      </c>
      <c r="E203" t="s">
        <v>53</v>
      </c>
      <c r="F203" s="9">
        <v>45899</v>
      </c>
      <c r="G203" s="9">
        <v>45771</v>
      </c>
      <c r="H203" t="s">
        <v>78</v>
      </c>
      <c r="I203" t="s">
        <v>98</v>
      </c>
      <c r="J203" t="s">
        <v>77</v>
      </c>
      <c r="K203" t="s">
        <v>54</v>
      </c>
      <c r="L203" t="s">
        <v>73</v>
      </c>
      <c r="M203" t="s">
        <v>66</v>
      </c>
      <c r="N203">
        <v>8</v>
      </c>
      <c r="O203" t="s">
        <v>64</v>
      </c>
      <c r="P203" t="s">
        <v>54</v>
      </c>
      <c r="Q203" s="9">
        <v>45775</v>
      </c>
      <c r="R203" t="s">
        <v>67</v>
      </c>
      <c r="S203">
        <v>5</v>
      </c>
      <c r="T203">
        <v>1</v>
      </c>
      <c r="U203">
        <v>3</v>
      </c>
      <c r="V203" t="s">
        <v>54</v>
      </c>
      <c r="W203">
        <v>4</v>
      </c>
      <c r="X203" t="s">
        <v>64</v>
      </c>
      <c r="Y203" t="s">
        <v>190</v>
      </c>
      <c r="Z203" t="s">
        <v>190</v>
      </c>
      <c r="AA203">
        <v>26.9</v>
      </c>
      <c r="AB203" t="s">
        <v>79</v>
      </c>
      <c r="AC203" t="s">
        <v>180</v>
      </c>
      <c r="AD203" t="s">
        <v>201</v>
      </c>
      <c r="AE203" t="s">
        <v>192</v>
      </c>
    </row>
    <row r="204" spans="1:31" x14ac:dyDescent="0.3">
      <c r="A204" t="s">
        <v>605</v>
      </c>
      <c r="B204" t="s">
        <v>606</v>
      </c>
      <c r="C204" t="s">
        <v>54</v>
      </c>
      <c r="D204" t="s">
        <v>158</v>
      </c>
      <c r="E204" t="s">
        <v>63</v>
      </c>
      <c r="F204" s="9">
        <v>45769</v>
      </c>
      <c r="G204" s="9">
        <v>45708</v>
      </c>
      <c r="H204" t="s">
        <v>70</v>
      </c>
      <c r="I204" t="s">
        <v>91</v>
      </c>
      <c r="J204" t="s">
        <v>59</v>
      </c>
      <c r="K204" t="s">
        <v>54</v>
      </c>
      <c r="L204" t="s">
        <v>73</v>
      </c>
      <c r="M204" t="s">
        <v>66</v>
      </c>
      <c r="N204">
        <v>7</v>
      </c>
      <c r="O204" t="s">
        <v>64</v>
      </c>
      <c r="P204" t="s">
        <v>54</v>
      </c>
      <c r="Q204" s="9">
        <v>45758</v>
      </c>
      <c r="R204" t="s">
        <v>83</v>
      </c>
      <c r="S204">
        <v>3</v>
      </c>
      <c r="T204">
        <v>2</v>
      </c>
      <c r="U204">
        <v>3</v>
      </c>
      <c r="V204" t="s">
        <v>54</v>
      </c>
      <c r="W204">
        <v>5</v>
      </c>
      <c r="X204" t="s">
        <v>64</v>
      </c>
      <c r="Y204" t="s">
        <v>190</v>
      </c>
      <c r="Z204" t="s">
        <v>195</v>
      </c>
      <c r="AA204">
        <v>13.1</v>
      </c>
      <c r="AB204" t="s">
        <v>71</v>
      </c>
      <c r="AC204" t="s">
        <v>181</v>
      </c>
      <c r="AD204" t="s">
        <v>196</v>
      </c>
      <c r="AE204" t="s">
        <v>192</v>
      </c>
    </row>
    <row r="205" spans="1:31" x14ac:dyDescent="0.3">
      <c r="A205" t="s">
        <v>607</v>
      </c>
      <c r="B205" t="s">
        <v>608</v>
      </c>
      <c r="C205" t="s">
        <v>54</v>
      </c>
      <c r="D205" t="s">
        <v>158</v>
      </c>
      <c r="E205" t="s">
        <v>63</v>
      </c>
      <c r="F205" s="9">
        <v>45811</v>
      </c>
      <c r="G205" s="9">
        <v>45775</v>
      </c>
      <c r="H205" t="s">
        <v>70</v>
      </c>
      <c r="I205" t="s">
        <v>95</v>
      </c>
      <c r="J205" t="s">
        <v>59</v>
      </c>
      <c r="K205" t="s">
        <v>54</v>
      </c>
      <c r="L205" t="s">
        <v>73</v>
      </c>
      <c r="M205" t="s">
        <v>56</v>
      </c>
      <c r="N205">
        <v>9</v>
      </c>
      <c r="O205" t="s">
        <v>64</v>
      </c>
      <c r="P205" t="s">
        <v>54</v>
      </c>
      <c r="Q205" s="9">
        <v>45811</v>
      </c>
      <c r="R205" t="s">
        <v>75</v>
      </c>
      <c r="S205">
        <v>4</v>
      </c>
      <c r="T205">
        <v>4</v>
      </c>
      <c r="U205">
        <v>5</v>
      </c>
      <c r="V205" t="s">
        <v>54</v>
      </c>
      <c r="W205">
        <v>3</v>
      </c>
      <c r="X205" t="s">
        <v>64</v>
      </c>
      <c r="Y205" t="s">
        <v>190</v>
      </c>
      <c r="Z205" t="s">
        <v>190</v>
      </c>
      <c r="AA205">
        <v>23.1</v>
      </c>
      <c r="AB205" t="s">
        <v>71</v>
      </c>
      <c r="AC205" t="s">
        <v>181</v>
      </c>
      <c r="AD205" t="s">
        <v>191</v>
      </c>
      <c r="AE205" t="s">
        <v>192</v>
      </c>
    </row>
    <row r="206" spans="1:31" x14ac:dyDescent="0.3">
      <c r="A206" t="s">
        <v>609</v>
      </c>
      <c r="B206" t="s">
        <v>610</v>
      </c>
      <c r="C206" t="s">
        <v>54</v>
      </c>
      <c r="D206" t="s">
        <v>158</v>
      </c>
      <c r="E206" t="s">
        <v>63</v>
      </c>
      <c r="F206" s="9">
        <v>45898</v>
      </c>
      <c r="G206" s="9">
        <v>45832</v>
      </c>
      <c r="H206" t="s">
        <v>60</v>
      </c>
      <c r="I206" t="s">
        <v>86</v>
      </c>
      <c r="J206" t="s">
        <v>77</v>
      </c>
      <c r="K206" t="s">
        <v>54</v>
      </c>
      <c r="L206" t="s">
        <v>65</v>
      </c>
      <c r="M206" t="s">
        <v>66</v>
      </c>
      <c r="N206">
        <v>7</v>
      </c>
      <c r="O206" t="s">
        <v>64</v>
      </c>
      <c r="P206" t="s">
        <v>64</v>
      </c>
      <c r="Q206" s="9"/>
      <c r="R206" t="s">
        <v>190</v>
      </c>
      <c r="V206" t="s">
        <v>190</v>
      </c>
      <c r="W206">
        <v>4</v>
      </c>
      <c r="X206" t="s">
        <v>64</v>
      </c>
      <c r="Y206" t="s">
        <v>190</v>
      </c>
      <c r="Z206" t="s">
        <v>190</v>
      </c>
      <c r="AA206">
        <v>19.899999999999999</v>
      </c>
      <c r="AB206" t="s">
        <v>61</v>
      </c>
      <c r="AC206" t="s">
        <v>181</v>
      </c>
      <c r="AD206" t="s">
        <v>192</v>
      </c>
      <c r="AE206" t="s">
        <v>192</v>
      </c>
    </row>
    <row r="207" spans="1:31" x14ac:dyDescent="0.3">
      <c r="A207" t="s">
        <v>611</v>
      </c>
      <c r="B207" t="s">
        <v>612</v>
      </c>
      <c r="C207" t="s">
        <v>54</v>
      </c>
      <c r="D207" t="s">
        <v>158</v>
      </c>
      <c r="E207" t="s">
        <v>63</v>
      </c>
      <c r="F207" s="9">
        <v>46037</v>
      </c>
      <c r="G207" s="9">
        <v>45699</v>
      </c>
      <c r="H207" t="s">
        <v>70</v>
      </c>
      <c r="I207" t="s">
        <v>93</v>
      </c>
      <c r="J207" t="s">
        <v>90</v>
      </c>
      <c r="K207" t="s">
        <v>54</v>
      </c>
      <c r="L207" t="s">
        <v>65</v>
      </c>
      <c r="M207" t="s">
        <v>56</v>
      </c>
      <c r="N207">
        <v>6</v>
      </c>
      <c r="O207" t="s">
        <v>64</v>
      </c>
      <c r="P207" t="s">
        <v>54</v>
      </c>
      <c r="Q207" s="9">
        <v>45706</v>
      </c>
      <c r="R207" t="s">
        <v>67</v>
      </c>
      <c r="S207">
        <v>4</v>
      </c>
      <c r="T207">
        <v>2</v>
      </c>
      <c r="U207">
        <v>2</v>
      </c>
      <c r="V207" t="s">
        <v>54</v>
      </c>
      <c r="W207">
        <v>5</v>
      </c>
      <c r="X207" t="s">
        <v>54</v>
      </c>
      <c r="Y207" t="s">
        <v>68</v>
      </c>
      <c r="Z207" t="s">
        <v>190</v>
      </c>
      <c r="AA207">
        <v>21.4</v>
      </c>
      <c r="AB207" t="s">
        <v>71</v>
      </c>
      <c r="AC207" t="s">
        <v>181</v>
      </c>
      <c r="AD207" t="s">
        <v>201</v>
      </c>
      <c r="AE207" t="s">
        <v>243</v>
      </c>
    </row>
    <row r="208" spans="1:31" x14ac:dyDescent="0.3">
      <c r="A208" t="s">
        <v>613</v>
      </c>
      <c r="B208" t="s">
        <v>614</v>
      </c>
      <c r="C208" t="s">
        <v>54</v>
      </c>
      <c r="D208" t="s">
        <v>158</v>
      </c>
      <c r="E208" t="s">
        <v>63</v>
      </c>
      <c r="F208" s="9">
        <v>45748</v>
      </c>
      <c r="G208" s="9">
        <v>45707</v>
      </c>
      <c r="H208" t="s">
        <v>70</v>
      </c>
      <c r="I208" t="s">
        <v>93</v>
      </c>
      <c r="J208" t="s">
        <v>94</v>
      </c>
      <c r="K208" t="s">
        <v>54</v>
      </c>
      <c r="L208" t="s">
        <v>55</v>
      </c>
      <c r="M208" t="s">
        <v>56</v>
      </c>
      <c r="N208">
        <v>8</v>
      </c>
      <c r="O208" t="s">
        <v>64</v>
      </c>
      <c r="P208" t="s">
        <v>54</v>
      </c>
      <c r="Q208" s="9">
        <v>45723</v>
      </c>
      <c r="R208" t="s">
        <v>57</v>
      </c>
      <c r="S208">
        <v>4</v>
      </c>
      <c r="T208">
        <v>2</v>
      </c>
      <c r="U208">
        <v>2</v>
      </c>
      <c r="V208" t="s">
        <v>54</v>
      </c>
      <c r="W208">
        <v>2</v>
      </c>
      <c r="X208" t="s">
        <v>64</v>
      </c>
      <c r="Y208" t="s">
        <v>190</v>
      </c>
      <c r="Z208" t="s">
        <v>190</v>
      </c>
      <c r="AA208">
        <v>13.6</v>
      </c>
      <c r="AB208" t="s">
        <v>71</v>
      </c>
      <c r="AC208" t="s">
        <v>181</v>
      </c>
      <c r="AD208" t="s">
        <v>207</v>
      </c>
      <c r="AE208" t="s">
        <v>192</v>
      </c>
    </row>
    <row r="209" spans="1:31" x14ac:dyDescent="0.3">
      <c r="A209" t="s">
        <v>615</v>
      </c>
      <c r="B209" t="s">
        <v>616</v>
      </c>
      <c r="C209" t="s">
        <v>54</v>
      </c>
      <c r="D209" t="s">
        <v>158</v>
      </c>
      <c r="E209" t="s">
        <v>53</v>
      </c>
      <c r="F209" s="9">
        <v>45927</v>
      </c>
      <c r="G209" s="9">
        <v>45889</v>
      </c>
      <c r="H209" t="s">
        <v>50</v>
      </c>
      <c r="I209" t="s">
        <v>52</v>
      </c>
      <c r="J209" t="s">
        <v>90</v>
      </c>
      <c r="K209" t="s">
        <v>54</v>
      </c>
      <c r="L209" t="s">
        <v>87</v>
      </c>
      <c r="M209" t="s">
        <v>66</v>
      </c>
      <c r="N209">
        <v>8</v>
      </c>
      <c r="O209" t="s">
        <v>64</v>
      </c>
      <c r="P209" t="s">
        <v>54</v>
      </c>
      <c r="Q209" s="9">
        <v>45902</v>
      </c>
      <c r="R209" t="s">
        <v>67</v>
      </c>
      <c r="S209">
        <v>4</v>
      </c>
      <c r="T209">
        <v>4</v>
      </c>
      <c r="U209">
        <v>4</v>
      </c>
      <c r="V209" t="s">
        <v>64</v>
      </c>
      <c r="W209">
        <v>4</v>
      </c>
      <c r="X209" t="s">
        <v>54</v>
      </c>
      <c r="Y209" t="s">
        <v>68</v>
      </c>
      <c r="Z209" t="s">
        <v>190</v>
      </c>
      <c r="AA209">
        <v>1</v>
      </c>
      <c r="AB209" t="s">
        <v>51</v>
      </c>
      <c r="AC209" t="s">
        <v>180</v>
      </c>
      <c r="AD209" t="s">
        <v>201</v>
      </c>
      <c r="AE209" t="s">
        <v>243</v>
      </c>
    </row>
    <row r="210" spans="1:31" x14ac:dyDescent="0.3">
      <c r="A210" t="s">
        <v>617</v>
      </c>
      <c r="B210" t="s">
        <v>618</v>
      </c>
      <c r="C210" t="s">
        <v>54</v>
      </c>
      <c r="D210" t="s">
        <v>158</v>
      </c>
      <c r="E210" t="s">
        <v>53</v>
      </c>
      <c r="F210" s="9">
        <v>45867</v>
      </c>
      <c r="G210" s="9">
        <v>45735</v>
      </c>
      <c r="H210" t="s">
        <v>70</v>
      </c>
      <c r="I210" t="s">
        <v>93</v>
      </c>
      <c r="J210" t="s">
        <v>619</v>
      </c>
      <c r="K210" t="s">
        <v>54</v>
      </c>
      <c r="L210" t="s">
        <v>87</v>
      </c>
      <c r="M210" t="s">
        <v>66</v>
      </c>
      <c r="N210">
        <v>4</v>
      </c>
      <c r="O210" t="s">
        <v>64</v>
      </c>
      <c r="P210" t="s">
        <v>54</v>
      </c>
      <c r="Q210" s="9">
        <v>45863</v>
      </c>
      <c r="R210" t="s">
        <v>83</v>
      </c>
      <c r="S210">
        <v>4</v>
      </c>
      <c r="T210">
        <v>3</v>
      </c>
      <c r="U210">
        <v>3</v>
      </c>
      <c r="V210" t="s">
        <v>54</v>
      </c>
      <c r="W210">
        <v>3</v>
      </c>
      <c r="X210" t="s">
        <v>64</v>
      </c>
      <c r="Y210" t="s">
        <v>190</v>
      </c>
      <c r="Z210" t="s">
        <v>534</v>
      </c>
      <c r="AA210">
        <v>6.6</v>
      </c>
      <c r="AB210" t="s">
        <v>71</v>
      </c>
      <c r="AC210" t="s">
        <v>180</v>
      </c>
      <c r="AD210" t="s">
        <v>196</v>
      </c>
      <c r="AE210" t="s">
        <v>192</v>
      </c>
    </row>
    <row r="211" spans="1:31" x14ac:dyDescent="0.3">
      <c r="A211" t="s">
        <v>620</v>
      </c>
      <c r="B211" t="s">
        <v>621</v>
      </c>
      <c r="C211" t="s">
        <v>54</v>
      </c>
      <c r="D211" t="s">
        <v>158</v>
      </c>
      <c r="E211" t="s">
        <v>63</v>
      </c>
      <c r="F211" s="9">
        <v>45825</v>
      </c>
      <c r="G211" s="9">
        <v>45683</v>
      </c>
      <c r="H211" t="s">
        <v>50</v>
      </c>
      <c r="I211" t="s">
        <v>62</v>
      </c>
      <c r="J211" t="s">
        <v>92</v>
      </c>
      <c r="K211" t="s">
        <v>54</v>
      </c>
      <c r="L211" t="s">
        <v>81</v>
      </c>
      <c r="M211" t="s">
        <v>56</v>
      </c>
      <c r="N211">
        <v>5</v>
      </c>
      <c r="O211" t="s">
        <v>64</v>
      </c>
      <c r="P211" t="s">
        <v>54</v>
      </c>
      <c r="Q211" s="9">
        <v>45787</v>
      </c>
      <c r="R211" t="s">
        <v>57</v>
      </c>
      <c r="S211">
        <v>3</v>
      </c>
      <c r="T211">
        <v>2</v>
      </c>
      <c r="U211">
        <v>3</v>
      </c>
      <c r="V211" t="s">
        <v>64</v>
      </c>
      <c r="W211">
        <v>4</v>
      </c>
      <c r="X211" t="s">
        <v>64</v>
      </c>
      <c r="Y211" t="s">
        <v>190</v>
      </c>
      <c r="Z211" t="s">
        <v>206</v>
      </c>
      <c r="AA211">
        <v>21.6</v>
      </c>
      <c r="AB211" t="s">
        <v>51</v>
      </c>
      <c r="AC211" t="s">
        <v>181</v>
      </c>
      <c r="AD211" t="s">
        <v>207</v>
      </c>
      <c r="AE211" t="s">
        <v>192</v>
      </c>
    </row>
    <row r="212" spans="1:31" x14ac:dyDescent="0.3">
      <c r="A212" t="s">
        <v>622</v>
      </c>
      <c r="B212" t="s">
        <v>623</v>
      </c>
      <c r="C212" t="s">
        <v>54</v>
      </c>
      <c r="D212" t="s">
        <v>158</v>
      </c>
      <c r="E212" t="s">
        <v>63</v>
      </c>
      <c r="F212" s="9">
        <v>45912</v>
      </c>
      <c r="G212" s="9">
        <v>45866</v>
      </c>
      <c r="H212" t="s">
        <v>50</v>
      </c>
      <c r="I212" t="s">
        <v>72</v>
      </c>
      <c r="J212" t="s">
        <v>88</v>
      </c>
      <c r="K212" t="s">
        <v>54</v>
      </c>
      <c r="L212" t="s">
        <v>73</v>
      </c>
      <c r="M212" t="s">
        <v>74</v>
      </c>
      <c r="N212">
        <v>5</v>
      </c>
      <c r="O212" t="s">
        <v>64</v>
      </c>
      <c r="P212" t="s">
        <v>54</v>
      </c>
      <c r="Q212" s="9">
        <v>45897</v>
      </c>
      <c r="R212" t="s">
        <v>83</v>
      </c>
      <c r="S212">
        <v>4</v>
      </c>
      <c r="T212">
        <v>3</v>
      </c>
      <c r="U212">
        <v>5</v>
      </c>
      <c r="V212" t="s">
        <v>64</v>
      </c>
      <c r="W212">
        <v>3</v>
      </c>
      <c r="X212" t="s">
        <v>64</v>
      </c>
      <c r="Y212" t="s">
        <v>190</v>
      </c>
      <c r="Z212" t="s">
        <v>493</v>
      </c>
      <c r="AA212">
        <v>22.4</v>
      </c>
      <c r="AB212" t="s">
        <v>51</v>
      </c>
      <c r="AC212" t="s">
        <v>181</v>
      </c>
      <c r="AD212" t="s">
        <v>196</v>
      </c>
      <c r="AE212" t="s">
        <v>192</v>
      </c>
    </row>
    <row r="213" spans="1:31" x14ac:dyDescent="0.3">
      <c r="A213" t="s">
        <v>624</v>
      </c>
      <c r="B213" t="s">
        <v>625</v>
      </c>
      <c r="C213" t="s">
        <v>54</v>
      </c>
      <c r="D213" t="s">
        <v>158</v>
      </c>
      <c r="E213" t="s">
        <v>53</v>
      </c>
      <c r="F213" s="9">
        <v>45863</v>
      </c>
      <c r="G213" s="9">
        <v>45755</v>
      </c>
      <c r="H213" t="s">
        <v>70</v>
      </c>
      <c r="I213" t="s">
        <v>93</v>
      </c>
      <c r="J213" t="s">
        <v>88</v>
      </c>
      <c r="K213" t="s">
        <v>54</v>
      </c>
      <c r="L213" t="s">
        <v>65</v>
      </c>
      <c r="M213" t="s">
        <v>66</v>
      </c>
      <c r="N213">
        <v>6</v>
      </c>
      <c r="O213" t="s">
        <v>54</v>
      </c>
      <c r="P213" t="s">
        <v>54</v>
      </c>
      <c r="Q213" s="9">
        <v>45806</v>
      </c>
      <c r="R213" t="s">
        <v>67</v>
      </c>
      <c r="S213">
        <v>5</v>
      </c>
      <c r="T213">
        <v>3</v>
      </c>
      <c r="U213">
        <v>4</v>
      </c>
      <c r="V213" t="s">
        <v>54</v>
      </c>
      <c r="W213">
        <v>2</v>
      </c>
      <c r="X213" t="s">
        <v>64</v>
      </c>
      <c r="Y213" t="s">
        <v>190</v>
      </c>
      <c r="Z213" t="s">
        <v>190</v>
      </c>
      <c r="AA213">
        <v>6.8</v>
      </c>
      <c r="AB213" t="s">
        <v>71</v>
      </c>
      <c r="AC213" t="s">
        <v>180</v>
      </c>
      <c r="AD213" t="s">
        <v>201</v>
      </c>
      <c r="AE213" t="s">
        <v>192</v>
      </c>
    </row>
    <row r="214" spans="1:31" x14ac:dyDescent="0.3">
      <c r="A214" t="s">
        <v>626</v>
      </c>
      <c r="B214" t="s">
        <v>627</v>
      </c>
      <c r="C214" t="s">
        <v>54</v>
      </c>
      <c r="D214" t="s">
        <v>158</v>
      </c>
      <c r="E214" t="s">
        <v>53</v>
      </c>
      <c r="F214" s="9">
        <v>45774</v>
      </c>
      <c r="G214" s="9">
        <v>45718</v>
      </c>
      <c r="H214" t="s">
        <v>70</v>
      </c>
      <c r="I214" t="s">
        <v>95</v>
      </c>
      <c r="J214" t="s">
        <v>90</v>
      </c>
      <c r="K214" t="s">
        <v>54</v>
      </c>
      <c r="L214" t="s">
        <v>81</v>
      </c>
      <c r="M214" t="s">
        <v>56</v>
      </c>
      <c r="N214">
        <v>3</v>
      </c>
      <c r="O214" t="s">
        <v>64</v>
      </c>
      <c r="P214" t="s">
        <v>54</v>
      </c>
      <c r="Q214" s="9">
        <v>45731</v>
      </c>
      <c r="R214" t="s">
        <v>75</v>
      </c>
      <c r="S214">
        <v>5</v>
      </c>
      <c r="T214">
        <v>1</v>
      </c>
      <c r="U214">
        <v>2</v>
      </c>
      <c r="V214" t="s">
        <v>64</v>
      </c>
      <c r="W214">
        <v>3</v>
      </c>
      <c r="X214" t="s">
        <v>64</v>
      </c>
      <c r="Y214" t="s">
        <v>190</v>
      </c>
      <c r="Z214" t="s">
        <v>190</v>
      </c>
      <c r="AA214">
        <v>16.5</v>
      </c>
      <c r="AB214" t="s">
        <v>71</v>
      </c>
      <c r="AC214" t="s">
        <v>180</v>
      </c>
      <c r="AD214" t="s">
        <v>191</v>
      </c>
      <c r="AE214" t="s">
        <v>192</v>
      </c>
    </row>
    <row r="215" spans="1:31" x14ac:dyDescent="0.3">
      <c r="A215" t="s">
        <v>628</v>
      </c>
      <c r="B215" t="s">
        <v>629</v>
      </c>
      <c r="C215" t="s">
        <v>54</v>
      </c>
      <c r="D215" t="s">
        <v>158</v>
      </c>
      <c r="E215" t="s">
        <v>53</v>
      </c>
      <c r="F215" s="9">
        <v>45782</v>
      </c>
      <c r="G215" s="9">
        <v>45684</v>
      </c>
      <c r="H215" t="s">
        <v>50</v>
      </c>
      <c r="I215" t="s">
        <v>52</v>
      </c>
      <c r="J215" t="s">
        <v>85</v>
      </c>
      <c r="K215" t="s">
        <v>54</v>
      </c>
      <c r="L215" t="s">
        <v>65</v>
      </c>
      <c r="M215" t="s">
        <v>66</v>
      </c>
      <c r="N215">
        <v>2</v>
      </c>
      <c r="O215" t="s">
        <v>64</v>
      </c>
      <c r="P215" t="s">
        <v>64</v>
      </c>
      <c r="Q215" s="9">
        <v>45782</v>
      </c>
      <c r="R215" t="s">
        <v>75</v>
      </c>
      <c r="S215">
        <v>4</v>
      </c>
      <c r="T215">
        <v>2</v>
      </c>
      <c r="U215">
        <v>4</v>
      </c>
      <c r="V215" t="s">
        <v>54</v>
      </c>
      <c r="W215">
        <v>3</v>
      </c>
      <c r="X215" t="s">
        <v>64</v>
      </c>
      <c r="Y215" t="s">
        <v>190</v>
      </c>
      <c r="Z215" t="s">
        <v>190</v>
      </c>
      <c r="AA215">
        <v>17.3</v>
      </c>
      <c r="AB215" t="s">
        <v>51</v>
      </c>
      <c r="AC215" t="s">
        <v>180</v>
      </c>
      <c r="AD215" t="s">
        <v>191</v>
      </c>
      <c r="AE215" t="s">
        <v>192</v>
      </c>
    </row>
    <row r="216" spans="1:31" x14ac:dyDescent="0.3">
      <c r="A216" t="s">
        <v>630</v>
      </c>
      <c r="B216" t="s">
        <v>631</v>
      </c>
      <c r="C216" t="s">
        <v>54</v>
      </c>
      <c r="D216" t="s">
        <v>158</v>
      </c>
      <c r="E216" t="s">
        <v>63</v>
      </c>
      <c r="F216" s="9">
        <v>45815</v>
      </c>
      <c r="G216" s="9">
        <v>45700</v>
      </c>
      <c r="H216" t="s">
        <v>50</v>
      </c>
      <c r="I216" t="s">
        <v>72</v>
      </c>
      <c r="J216" t="s">
        <v>94</v>
      </c>
      <c r="K216" t="s">
        <v>54</v>
      </c>
      <c r="L216" t="s">
        <v>73</v>
      </c>
      <c r="M216" t="s">
        <v>82</v>
      </c>
      <c r="N216">
        <v>6</v>
      </c>
      <c r="O216" t="s">
        <v>64</v>
      </c>
      <c r="P216" t="s">
        <v>54</v>
      </c>
      <c r="Q216" s="9">
        <v>45711</v>
      </c>
      <c r="R216" t="s">
        <v>67</v>
      </c>
      <c r="S216">
        <v>4</v>
      </c>
      <c r="T216">
        <v>3</v>
      </c>
      <c r="U216">
        <v>3</v>
      </c>
      <c r="V216" t="s">
        <v>54</v>
      </c>
      <c r="W216">
        <v>4</v>
      </c>
      <c r="X216" t="s">
        <v>64</v>
      </c>
      <c r="Y216" t="s">
        <v>190</v>
      </c>
      <c r="Z216" t="s">
        <v>190</v>
      </c>
      <c r="AA216">
        <v>22.8</v>
      </c>
      <c r="AB216" t="s">
        <v>51</v>
      </c>
      <c r="AC216" t="s">
        <v>181</v>
      </c>
      <c r="AD216" t="s">
        <v>201</v>
      </c>
      <c r="AE216" t="s">
        <v>192</v>
      </c>
    </row>
    <row r="217" spans="1:31" x14ac:dyDescent="0.3">
      <c r="A217" t="s">
        <v>632</v>
      </c>
      <c r="B217" t="s">
        <v>633</v>
      </c>
      <c r="C217" t="s">
        <v>54</v>
      </c>
      <c r="D217" t="s">
        <v>158</v>
      </c>
      <c r="E217" t="s">
        <v>63</v>
      </c>
      <c r="F217" s="9">
        <v>45842</v>
      </c>
      <c r="G217" s="9">
        <v>45733</v>
      </c>
      <c r="H217" t="s">
        <v>70</v>
      </c>
      <c r="I217" t="s">
        <v>93</v>
      </c>
      <c r="J217" t="s">
        <v>90</v>
      </c>
      <c r="K217" t="s">
        <v>54</v>
      </c>
      <c r="L217" t="s">
        <v>87</v>
      </c>
      <c r="M217" t="s">
        <v>66</v>
      </c>
      <c r="N217">
        <v>3</v>
      </c>
      <c r="O217" t="s">
        <v>64</v>
      </c>
      <c r="P217" t="s">
        <v>54</v>
      </c>
      <c r="Q217" s="9">
        <v>45769</v>
      </c>
      <c r="R217" t="s">
        <v>67</v>
      </c>
      <c r="S217">
        <v>3</v>
      </c>
      <c r="T217">
        <v>2</v>
      </c>
      <c r="U217">
        <v>3</v>
      </c>
      <c r="V217" t="s">
        <v>64</v>
      </c>
      <c r="W217">
        <v>3</v>
      </c>
      <c r="X217" t="s">
        <v>64</v>
      </c>
      <c r="Y217" t="s">
        <v>190</v>
      </c>
      <c r="Z217" t="s">
        <v>190</v>
      </c>
      <c r="AA217">
        <v>14.8</v>
      </c>
      <c r="AB217" t="s">
        <v>71</v>
      </c>
      <c r="AC217" t="s">
        <v>181</v>
      </c>
      <c r="AD217" t="s">
        <v>201</v>
      </c>
      <c r="AE217" t="s">
        <v>192</v>
      </c>
    </row>
    <row r="218" spans="1:31" x14ac:dyDescent="0.3">
      <c r="A218" t="s">
        <v>634</v>
      </c>
      <c r="B218" t="s">
        <v>635</v>
      </c>
      <c r="C218" t="s">
        <v>54</v>
      </c>
      <c r="D218" t="s">
        <v>158</v>
      </c>
      <c r="E218" t="s">
        <v>63</v>
      </c>
      <c r="F218" s="9">
        <v>45872</v>
      </c>
      <c r="G218" s="9">
        <v>45783</v>
      </c>
      <c r="H218" t="s">
        <v>60</v>
      </c>
      <c r="I218" t="s">
        <v>89</v>
      </c>
      <c r="J218" t="s">
        <v>92</v>
      </c>
      <c r="K218" t="s">
        <v>54</v>
      </c>
      <c r="L218" t="s">
        <v>65</v>
      </c>
      <c r="M218" t="s">
        <v>56</v>
      </c>
      <c r="N218">
        <v>4</v>
      </c>
      <c r="O218" t="s">
        <v>64</v>
      </c>
      <c r="P218" t="s">
        <v>54</v>
      </c>
      <c r="Q218" s="9">
        <v>45820</v>
      </c>
      <c r="R218" t="s">
        <v>75</v>
      </c>
      <c r="S218">
        <v>4</v>
      </c>
      <c r="T218">
        <v>1</v>
      </c>
      <c r="U218">
        <v>2</v>
      </c>
      <c r="V218" t="s">
        <v>54</v>
      </c>
      <c r="W218">
        <v>4</v>
      </c>
      <c r="X218" t="s">
        <v>64</v>
      </c>
      <c r="Y218" t="s">
        <v>190</v>
      </c>
      <c r="Z218" t="s">
        <v>190</v>
      </c>
      <c r="AA218">
        <v>13.6</v>
      </c>
      <c r="AB218" t="s">
        <v>61</v>
      </c>
      <c r="AC218" t="s">
        <v>181</v>
      </c>
      <c r="AD218" t="s">
        <v>191</v>
      </c>
      <c r="AE218" t="s">
        <v>192</v>
      </c>
    </row>
    <row r="219" spans="1:31" x14ac:dyDescent="0.3">
      <c r="A219" t="s">
        <v>636</v>
      </c>
      <c r="B219" t="s">
        <v>637</v>
      </c>
      <c r="C219" t="s">
        <v>54</v>
      </c>
      <c r="D219" t="s">
        <v>158</v>
      </c>
      <c r="E219" t="s">
        <v>53</v>
      </c>
      <c r="F219" s="9">
        <v>45876</v>
      </c>
      <c r="G219" s="9">
        <v>45775</v>
      </c>
      <c r="H219" t="s">
        <v>60</v>
      </c>
      <c r="I219" t="s">
        <v>86</v>
      </c>
      <c r="J219" t="s">
        <v>92</v>
      </c>
      <c r="K219" t="s">
        <v>54</v>
      </c>
      <c r="L219" t="s">
        <v>73</v>
      </c>
      <c r="M219" t="s">
        <v>56</v>
      </c>
      <c r="N219">
        <v>8</v>
      </c>
      <c r="O219" t="s">
        <v>64</v>
      </c>
      <c r="P219" t="s">
        <v>54</v>
      </c>
      <c r="Q219" s="9">
        <v>45796</v>
      </c>
      <c r="R219" t="s">
        <v>57</v>
      </c>
      <c r="S219">
        <v>3</v>
      </c>
      <c r="T219">
        <v>1</v>
      </c>
      <c r="U219">
        <v>2</v>
      </c>
      <c r="V219" t="s">
        <v>54</v>
      </c>
      <c r="W219">
        <v>3</v>
      </c>
      <c r="X219" t="s">
        <v>64</v>
      </c>
      <c r="Y219" t="s">
        <v>190</v>
      </c>
      <c r="Z219" t="s">
        <v>190</v>
      </c>
      <c r="AA219">
        <v>25.6</v>
      </c>
      <c r="AB219" t="s">
        <v>61</v>
      </c>
      <c r="AC219" t="s">
        <v>180</v>
      </c>
      <c r="AD219" t="s">
        <v>207</v>
      </c>
      <c r="AE219" t="s">
        <v>192</v>
      </c>
    </row>
    <row r="220" spans="1:31" x14ac:dyDescent="0.3">
      <c r="A220" t="s">
        <v>638</v>
      </c>
      <c r="B220" t="s">
        <v>639</v>
      </c>
      <c r="C220" t="s">
        <v>54</v>
      </c>
      <c r="D220" t="s">
        <v>158</v>
      </c>
      <c r="E220" t="s">
        <v>63</v>
      </c>
      <c r="F220" s="9">
        <v>45818</v>
      </c>
      <c r="G220" s="9">
        <v>45755</v>
      </c>
      <c r="H220" t="s">
        <v>70</v>
      </c>
      <c r="I220" t="s">
        <v>96</v>
      </c>
      <c r="J220" t="s">
        <v>69</v>
      </c>
      <c r="K220" t="s">
        <v>54</v>
      </c>
      <c r="L220" t="s">
        <v>65</v>
      </c>
      <c r="M220" t="s">
        <v>66</v>
      </c>
      <c r="N220">
        <v>5</v>
      </c>
      <c r="O220" t="s">
        <v>54</v>
      </c>
      <c r="P220" t="s">
        <v>54</v>
      </c>
      <c r="Q220" s="9">
        <v>45791</v>
      </c>
      <c r="R220" t="s">
        <v>75</v>
      </c>
      <c r="S220">
        <v>5</v>
      </c>
      <c r="T220">
        <v>2</v>
      </c>
      <c r="U220">
        <v>3</v>
      </c>
      <c r="V220" t="s">
        <v>64</v>
      </c>
      <c r="W220">
        <v>1</v>
      </c>
      <c r="X220" t="s">
        <v>64</v>
      </c>
      <c r="Y220" t="s">
        <v>190</v>
      </c>
      <c r="Z220" t="s">
        <v>190</v>
      </c>
      <c r="AA220">
        <v>5.8</v>
      </c>
      <c r="AB220" t="s">
        <v>71</v>
      </c>
      <c r="AC220" t="s">
        <v>181</v>
      </c>
      <c r="AD220" t="s">
        <v>191</v>
      </c>
      <c r="AE220" t="s">
        <v>192</v>
      </c>
    </row>
    <row r="221" spans="1:31" x14ac:dyDescent="0.3">
      <c r="A221" t="s">
        <v>640</v>
      </c>
      <c r="B221" t="s">
        <v>641</v>
      </c>
      <c r="C221" t="s">
        <v>54</v>
      </c>
      <c r="D221" t="s">
        <v>158</v>
      </c>
      <c r="E221" t="s">
        <v>53</v>
      </c>
      <c r="F221" s="9">
        <v>45750</v>
      </c>
      <c r="G221" s="9">
        <v>45718</v>
      </c>
      <c r="H221" t="s">
        <v>78</v>
      </c>
      <c r="I221" t="s">
        <v>97</v>
      </c>
      <c r="J221" t="s">
        <v>59</v>
      </c>
      <c r="K221" t="s">
        <v>54</v>
      </c>
      <c r="L221" t="s">
        <v>65</v>
      </c>
      <c r="M221" t="s">
        <v>56</v>
      </c>
      <c r="N221">
        <v>9</v>
      </c>
      <c r="O221" t="s">
        <v>64</v>
      </c>
      <c r="P221" t="s">
        <v>54</v>
      </c>
      <c r="Q221" s="9">
        <v>45725</v>
      </c>
      <c r="R221" t="s">
        <v>57</v>
      </c>
      <c r="S221">
        <v>4</v>
      </c>
      <c r="T221">
        <v>4</v>
      </c>
      <c r="U221">
        <v>5</v>
      </c>
      <c r="V221" t="s">
        <v>54</v>
      </c>
      <c r="W221">
        <v>4</v>
      </c>
      <c r="X221" t="s">
        <v>64</v>
      </c>
      <c r="Y221" t="s">
        <v>190</v>
      </c>
      <c r="Z221" t="s">
        <v>190</v>
      </c>
      <c r="AA221">
        <v>20.399999999999999</v>
      </c>
      <c r="AB221" t="s">
        <v>79</v>
      </c>
      <c r="AC221" t="s">
        <v>180</v>
      </c>
      <c r="AD221" t="s">
        <v>207</v>
      </c>
      <c r="AE221" t="s">
        <v>192</v>
      </c>
    </row>
    <row r="222" spans="1:31" x14ac:dyDescent="0.3">
      <c r="A222" t="s">
        <v>642</v>
      </c>
      <c r="B222" t="s">
        <v>643</v>
      </c>
      <c r="C222" t="s">
        <v>54</v>
      </c>
      <c r="D222" t="s">
        <v>158</v>
      </c>
      <c r="E222" t="s">
        <v>190</v>
      </c>
      <c r="F222" s="9"/>
      <c r="G222" s="9"/>
      <c r="H222" t="s">
        <v>190</v>
      </c>
      <c r="I222" t="s">
        <v>190</v>
      </c>
      <c r="J222" t="s">
        <v>190</v>
      </c>
      <c r="K222" t="s">
        <v>64</v>
      </c>
      <c r="L222" t="s">
        <v>190</v>
      </c>
      <c r="M222" t="s">
        <v>190</v>
      </c>
      <c r="O222" t="s">
        <v>190</v>
      </c>
      <c r="P222" t="s">
        <v>190</v>
      </c>
      <c r="Q222" s="9"/>
      <c r="R222" t="s">
        <v>190</v>
      </c>
      <c r="V222" t="s">
        <v>190</v>
      </c>
      <c r="X222" t="s">
        <v>190</v>
      </c>
      <c r="Y222" t="s">
        <v>190</v>
      </c>
      <c r="Z222" t="s">
        <v>190</v>
      </c>
      <c r="AB222" t="s">
        <v>192</v>
      </c>
      <c r="AC222" t="s">
        <v>192</v>
      </c>
      <c r="AD222" t="s">
        <v>192</v>
      </c>
      <c r="AE222" t="s">
        <v>192</v>
      </c>
    </row>
    <row r="223" spans="1:31" x14ac:dyDescent="0.3">
      <c r="A223" t="s">
        <v>644</v>
      </c>
      <c r="B223" t="s">
        <v>645</v>
      </c>
      <c r="C223" t="s">
        <v>54</v>
      </c>
      <c r="D223" t="s">
        <v>158</v>
      </c>
      <c r="E223" t="s">
        <v>63</v>
      </c>
      <c r="F223" s="9">
        <v>45817</v>
      </c>
      <c r="G223" s="9">
        <v>45705</v>
      </c>
      <c r="H223" t="s">
        <v>50</v>
      </c>
      <c r="I223" t="s">
        <v>52</v>
      </c>
      <c r="J223" t="s">
        <v>90</v>
      </c>
      <c r="K223" t="s">
        <v>54</v>
      </c>
      <c r="L223" t="s">
        <v>65</v>
      </c>
      <c r="M223" t="s">
        <v>56</v>
      </c>
      <c r="N223">
        <v>5</v>
      </c>
      <c r="O223" t="s">
        <v>64</v>
      </c>
      <c r="P223" t="s">
        <v>54</v>
      </c>
      <c r="Q223" s="9">
        <v>45814</v>
      </c>
      <c r="R223" t="s">
        <v>75</v>
      </c>
      <c r="S223">
        <v>2</v>
      </c>
      <c r="T223">
        <v>4</v>
      </c>
      <c r="U223">
        <v>5</v>
      </c>
      <c r="V223" t="s">
        <v>54</v>
      </c>
      <c r="W223">
        <v>2</v>
      </c>
      <c r="X223" t="s">
        <v>54</v>
      </c>
      <c r="Y223" t="s">
        <v>58</v>
      </c>
      <c r="Z223" t="s">
        <v>190</v>
      </c>
      <c r="AA223">
        <v>26.9</v>
      </c>
      <c r="AB223" t="s">
        <v>51</v>
      </c>
      <c r="AC223" t="s">
        <v>181</v>
      </c>
      <c r="AD223" t="s">
        <v>191</v>
      </c>
      <c r="AE223" t="s">
        <v>222</v>
      </c>
    </row>
    <row r="224" spans="1:31" x14ac:dyDescent="0.3">
      <c r="A224" t="s">
        <v>646</v>
      </c>
      <c r="B224" t="s">
        <v>647</v>
      </c>
      <c r="C224" t="s">
        <v>54</v>
      </c>
      <c r="D224" t="s">
        <v>158</v>
      </c>
      <c r="E224" t="s">
        <v>53</v>
      </c>
      <c r="F224" s="9">
        <v>45748</v>
      </c>
      <c r="G224" s="9">
        <v>45693</v>
      </c>
      <c r="H224" t="s">
        <v>70</v>
      </c>
      <c r="I224" t="s">
        <v>96</v>
      </c>
      <c r="J224" t="s">
        <v>85</v>
      </c>
      <c r="K224" t="s">
        <v>54</v>
      </c>
      <c r="L224" t="s">
        <v>55</v>
      </c>
      <c r="M224" t="s">
        <v>56</v>
      </c>
      <c r="N224">
        <v>7</v>
      </c>
      <c r="O224" t="s">
        <v>64</v>
      </c>
      <c r="P224" t="s">
        <v>54</v>
      </c>
      <c r="Q224" s="9">
        <v>45733</v>
      </c>
      <c r="R224" t="s">
        <v>75</v>
      </c>
      <c r="S224">
        <v>5</v>
      </c>
      <c r="T224">
        <v>1</v>
      </c>
      <c r="U224">
        <v>3</v>
      </c>
      <c r="V224" t="s">
        <v>54</v>
      </c>
      <c r="W224">
        <v>4</v>
      </c>
      <c r="X224" t="s">
        <v>54</v>
      </c>
      <c r="Y224" t="s">
        <v>76</v>
      </c>
      <c r="Z224" t="s">
        <v>190</v>
      </c>
      <c r="AA224">
        <v>23.8</v>
      </c>
      <c r="AB224" t="s">
        <v>71</v>
      </c>
      <c r="AC224" t="s">
        <v>180</v>
      </c>
      <c r="AD224" t="s">
        <v>191</v>
      </c>
      <c r="AE224" t="s">
        <v>237</v>
      </c>
    </row>
    <row r="225" spans="1:31" x14ac:dyDescent="0.3">
      <c r="A225" t="s">
        <v>648</v>
      </c>
      <c r="B225" t="s">
        <v>649</v>
      </c>
      <c r="C225" t="s">
        <v>54</v>
      </c>
      <c r="D225" t="s">
        <v>158</v>
      </c>
      <c r="E225" t="s">
        <v>63</v>
      </c>
      <c r="F225" s="9">
        <v>45913</v>
      </c>
      <c r="G225" s="9">
        <v>45796</v>
      </c>
      <c r="H225" t="s">
        <v>60</v>
      </c>
      <c r="I225" t="s">
        <v>80</v>
      </c>
      <c r="J225" t="s">
        <v>59</v>
      </c>
      <c r="K225" t="s">
        <v>54</v>
      </c>
      <c r="L225" t="s">
        <v>55</v>
      </c>
      <c r="M225" t="s">
        <v>66</v>
      </c>
      <c r="N225">
        <v>4</v>
      </c>
      <c r="O225" t="s">
        <v>64</v>
      </c>
      <c r="P225" t="s">
        <v>54</v>
      </c>
      <c r="Q225" s="9">
        <v>45875</v>
      </c>
      <c r="R225" t="s">
        <v>650</v>
      </c>
      <c r="S225">
        <v>5</v>
      </c>
      <c r="T225">
        <v>1</v>
      </c>
      <c r="U225">
        <v>2</v>
      </c>
      <c r="V225" t="s">
        <v>64</v>
      </c>
      <c r="W225">
        <v>3</v>
      </c>
      <c r="X225" t="s">
        <v>64</v>
      </c>
      <c r="Y225" t="s">
        <v>190</v>
      </c>
      <c r="Z225" t="s">
        <v>305</v>
      </c>
      <c r="AA225">
        <v>15.6</v>
      </c>
      <c r="AB225" t="s">
        <v>61</v>
      </c>
      <c r="AC225" t="s">
        <v>181</v>
      </c>
      <c r="AD225" t="s">
        <v>192</v>
      </c>
      <c r="AE225" t="s">
        <v>192</v>
      </c>
    </row>
    <row r="226" spans="1:31" x14ac:dyDescent="0.3">
      <c r="A226" t="s">
        <v>651</v>
      </c>
      <c r="B226" t="s">
        <v>652</v>
      </c>
      <c r="C226" t="s">
        <v>54</v>
      </c>
      <c r="D226" t="s">
        <v>158</v>
      </c>
      <c r="E226" t="s">
        <v>190</v>
      </c>
      <c r="F226" s="9"/>
      <c r="G226" s="9"/>
      <c r="H226" t="s">
        <v>190</v>
      </c>
      <c r="I226" t="s">
        <v>190</v>
      </c>
      <c r="J226" t="s">
        <v>190</v>
      </c>
      <c r="K226" t="s">
        <v>64</v>
      </c>
      <c r="L226" t="s">
        <v>190</v>
      </c>
      <c r="M226" t="s">
        <v>190</v>
      </c>
      <c r="O226" t="s">
        <v>190</v>
      </c>
      <c r="P226" t="s">
        <v>190</v>
      </c>
      <c r="Q226" s="9"/>
      <c r="R226" t="s">
        <v>190</v>
      </c>
      <c r="V226" t="s">
        <v>190</v>
      </c>
      <c r="X226" t="s">
        <v>190</v>
      </c>
      <c r="Y226" t="s">
        <v>190</v>
      </c>
      <c r="Z226" t="s">
        <v>190</v>
      </c>
      <c r="AB226" t="s">
        <v>192</v>
      </c>
      <c r="AC226" t="s">
        <v>192</v>
      </c>
      <c r="AD226" t="s">
        <v>192</v>
      </c>
      <c r="AE226" t="s">
        <v>192</v>
      </c>
    </row>
    <row r="227" spans="1:31" x14ac:dyDescent="0.3">
      <c r="A227" t="s">
        <v>653</v>
      </c>
      <c r="B227" t="s">
        <v>654</v>
      </c>
      <c r="C227" t="s">
        <v>54</v>
      </c>
      <c r="D227" t="s">
        <v>158</v>
      </c>
      <c r="E227" t="s">
        <v>53</v>
      </c>
      <c r="F227" s="9">
        <v>45845</v>
      </c>
      <c r="G227" s="9">
        <v>45749</v>
      </c>
      <c r="H227" t="s">
        <v>78</v>
      </c>
      <c r="I227" t="s">
        <v>96</v>
      </c>
      <c r="J227" t="s">
        <v>90</v>
      </c>
      <c r="K227" t="s">
        <v>54</v>
      </c>
      <c r="L227" t="s">
        <v>81</v>
      </c>
      <c r="M227" t="s">
        <v>66</v>
      </c>
      <c r="N227">
        <v>4</v>
      </c>
      <c r="O227" t="s">
        <v>54</v>
      </c>
      <c r="P227" t="s">
        <v>54</v>
      </c>
      <c r="Q227" s="9">
        <v>45770</v>
      </c>
      <c r="R227" t="s">
        <v>57</v>
      </c>
      <c r="S227">
        <v>5</v>
      </c>
      <c r="T227">
        <v>4</v>
      </c>
      <c r="U227">
        <v>4</v>
      </c>
      <c r="V227" t="s">
        <v>64</v>
      </c>
      <c r="W227">
        <v>3</v>
      </c>
      <c r="X227" t="s">
        <v>54</v>
      </c>
      <c r="Y227" t="s">
        <v>76</v>
      </c>
      <c r="Z227" t="s">
        <v>190</v>
      </c>
      <c r="AA227">
        <v>27</v>
      </c>
      <c r="AB227" t="s">
        <v>79</v>
      </c>
      <c r="AC227" t="s">
        <v>180</v>
      </c>
      <c r="AD227" t="s">
        <v>207</v>
      </c>
      <c r="AE227" t="s">
        <v>237</v>
      </c>
    </row>
    <row r="228" spans="1:31" x14ac:dyDescent="0.3">
      <c r="A228" t="s">
        <v>655</v>
      </c>
      <c r="B228" t="s">
        <v>656</v>
      </c>
      <c r="C228" t="s">
        <v>54</v>
      </c>
      <c r="D228" t="s">
        <v>158</v>
      </c>
      <c r="E228" t="s">
        <v>63</v>
      </c>
      <c r="F228" s="9">
        <v>45787</v>
      </c>
      <c r="G228" s="9">
        <v>45650</v>
      </c>
      <c r="H228" t="s">
        <v>60</v>
      </c>
      <c r="I228" t="s">
        <v>86</v>
      </c>
      <c r="J228" t="s">
        <v>94</v>
      </c>
      <c r="K228" t="s">
        <v>54</v>
      </c>
      <c r="L228" t="s">
        <v>65</v>
      </c>
      <c r="M228" t="s">
        <v>56</v>
      </c>
      <c r="N228">
        <v>8</v>
      </c>
      <c r="O228" t="s">
        <v>64</v>
      </c>
      <c r="P228" t="s">
        <v>64</v>
      </c>
      <c r="Q228" s="9"/>
      <c r="R228" t="s">
        <v>190</v>
      </c>
      <c r="V228" t="s">
        <v>190</v>
      </c>
      <c r="W228">
        <v>4</v>
      </c>
      <c r="X228" t="s">
        <v>64</v>
      </c>
      <c r="Y228" t="s">
        <v>190</v>
      </c>
      <c r="Z228" t="s">
        <v>190</v>
      </c>
      <c r="AA228">
        <v>8.8000000000000007</v>
      </c>
      <c r="AB228" t="s">
        <v>61</v>
      </c>
      <c r="AC228" t="s">
        <v>181</v>
      </c>
      <c r="AD228" t="s">
        <v>192</v>
      </c>
      <c r="AE228" t="s">
        <v>192</v>
      </c>
    </row>
    <row r="229" spans="1:31" x14ac:dyDescent="0.3">
      <c r="A229" t="s">
        <v>657</v>
      </c>
      <c r="B229" t="s">
        <v>658</v>
      </c>
      <c r="C229" t="s">
        <v>54</v>
      </c>
      <c r="D229" t="s">
        <v>158</v>
      </c>
      <c r="E229" t="s">
        <v>63</v>
      </c>
      <c r="F229" s="9">
        <v>45860</v>
      </c>
      <c r="G229" s="9">
        <v>45727</v>
      </c>
      <c r="H229" t="s">
        <v>70</v>
      </c>
      <c r="I229" t="s">
        <v>93</v>
      </c>
      <c r="J229" t="s">
        <v>92</v>
      </c>
      <c r="K229" t="s">
        <v>54</v>
      </c>
      <c r="L229" t="s">
        <v>55</v>
      </c>
      <c r="M229" t="s">
        <v>56</v>
      </c>
      <c r="N229">
        <v>8</v>
      </c>
      <c r="O229" t="s">
        <v>64</v>
      </c>
      <c r="P229" t="s">
        <v>54</v>
      </c>
      <c r="Q229" s="9">
        <v>45796</v>
      </c>
      <c r="R229" t="s">
        <v>57</v>
      </c>
      <c r="S229">
        <v>3</v>
      </c>
      <c r="T229">
        <v>4</v>
      </c>
      <c r="U229">
        <v>5</v>
      </c>
      <c r="V229" t="s">
        <v>54</v>
      </c>
      <c r="W229">
        <v>4</v>
      </c>
      <c r="X229" t="s">
        <v>64</v>
      </c>
      <c r="Y229" t="s">
        <v>190</v>
      </c>
      <c r="Z229" t="s">
        <v>190</v>
      </c>
      <c r="AA229">
        <v>28</v>
      </c>
      <c r="AB229" t="s">
        <v>71</v>
      </c>
      <c r="AC229" t="s">
        <v>181</v>
      </c>
      <c r="AD229" t="s">
        <v>207</v>
      </c>
      <c r="AE229" t="s">
        <v>192</v>
      </c>
    </row>
    <row r="230" spans="1:31" x14ac:dyDescent="0.3">
      <c r="A230" t="s">
        <v>659</v>
      </c>
      <c r="B230" t="s">
        <v>660</v>
      </c>
      <c r="C230" t="s">
        <v>54</v>
      </c>
      <c r="D230" t="s">
        <v>158</v>
      </c>
      <c r="E230" t="s">
        <v>53</v>
      </c>
      <c r="F230" s="9">
        <v>45863</v>
      </c>
      <c r="G230" s="9">
        <v>45720</v>
      </c>
      <c r="H230" t="s">
        <v>60</v>
      </c>
      <c r="I230" t="s">
        <v>86</v>
      </c>
      <c r="J230" t="s">
        <v>85</v>
      </c>
      <c r="K230" t="s">
        <v>54</v>
      </c>
      <c r="L230" t="s">
        <v>65</v>
      </c>
      <c r="M230" t="s">
        <v>66</v>
      </c>
      <c r="N230">
        <v>7</v>
      </c>
      <c r="O230" t="s">
        <v>64</v>
      </c>
      <c r="P230" t="s">
        <v>54</v>
      </c>
      <c r="Q230" s="9">
        <v>45863</v>
      </c>
      <c r="R230" t="s">
        <v>57</v>
      </c>
      <c r="S230">
        <v>9</v>
      </c>
      <c r="T230">
        <v>2</v>
      </c>
      <c r="U230">
        <v>3</v>
      </c>
      <c r="V230" t="s">
        <v>64</v>
      </c>
      <c r="W230">
        <v>1</v>
      </c>
      <c r="X230" t="s">
        <v>64</v>
      </c>
      <c r="Y230" t="s">
        <v>190</v>
      </c>
      <c r="Z230" t="s">
        <v>190</v>
      </c>
      <c r="AA230">
        <v>22</v>
      </c>
      <c r="AB230" t="s">
        <v>61</v>
      </c>
      <c r="AC230" t="s">
        <v>180</v>
      </c>
      <c r="AD230" t="s">
        <v>207</v>
      </c>
      <c r="AE230" t="s">
        <v>192</v>
      </c>
    </row>
    <row r="231" spans="1:31" x14ac:dyDescent="0.3">
      <c r="A231" t="s">
        <v>661</v>
      </c>
      <c r="B231" t="s">
        <v>662</v>
      </c>
      <c r="C231" t="s">
        <v>54</v>
      </c>
      <c r="D231" t="s">
        <v>158</v>
      </c>
      <c r="E231" t="s">
        <v>63</v>
      </c>
      <c r="F231" s="9">
        <v>45893</v>
      </c>
      <c r="G231" s="9">
        <v>45853</v>
      </c>
      <c r="H231" t="s">
        <v>50</v>
      </c>
      <c r="I231" t="s">
        <v>52</v>
      </c>
      <c r="J231" t="s">
        <v>69</v>
      </c>
      <c r="K231" t="s">
        <v>54</v>
      </c>
      <c r="L231" t="s">
        <v>65</v>
      </c>
      <c r="M231" t="s">
        <v>56</v>
      </c>
      <c r="N231">
        <v>1</v>
      </c>
      <c r="O231" t="s">
        <v>64</v>
      </c>
      <c r="P231" t="s">
        <v>54</v>
      </c>
      <c r="Q231" s="9">
        <v>45882</v>
      </c>
      <c r="R231" t="s">
        <v>83</v>
      </c>
      <c r="S231">
        <v>5</v>
      </c>
      <c r="T231">
        <v>1</v>
      </c>
      <c r="U231">
        <v>2</v>
      </c>
      <c r="V231" t="s">
        <v>54</v>
      </c>
      <c r="W231">
        <v>3</v>
      </c>
      <c r="X231" t="s">
        <v>64</v>
      </c>
      <c r="Y231" t="s">
        <v>190</v>
      </c>
      <c r="Z231" t="s">
        <v>190</v>
      </c>
      <c r="AA231">
        <v>15.4</v>
      </c>
      <c r="AB231" t="s">
        <v>51</v>
      </c>
      <c r="AC231" t="s">
        <v>181</v>
      </c>
      <c r="AD231" t="s">
        <v>196</v>
      </c>
      <c r="AE231" t="s">
        <v>192</v>
      </c>
    </row>
    <row r="232" spans="1:31" x14ac:dyDescent="0.3">
      <c r="A232" t="s">
        <v>663</v>
      </c>
      <c r="B232" t="s">
        <v>664</v>
      </c>
      <c r="C232" t="s">
        <v>54</v>
      </c>
      <c r="D232" t="s">
        <v>158</v>
      </c>
      <c r="E232" t="s">
        <v>53</v>
      </c>
      <c r="F232" s="9">
        <v>45822</v>
      </c>
      <c r="G232" s="9">
        <v>45752</v>
      </c>
      <c r="H232" t="s">
        <v>78</v>
      </c>
      <c r="I232" t="s">
        <v>97</v>
      </c>
      <c r="J232" t="s">
        <v>69</v>
      </c>
      <c r="K232" t="s">
        <v>54</v>
      </c>
      <c r="L232" t="s">
        <v>65</v>
      </c>
      <c r="M232" t="s">
        <v>66</v>
      </c>
      <c r="N232">
        <v>8</v>
      </c>
      <c r="O232" t="s">
        <v>64</v>
      </c>
      <c r="P232" t="s">
        <v>64</v>
      </c>
      <c r="Q232" s="9"/>
      <c r="R232" t="s">
        <v>190</v>
      </c>
      <c r="V232" t="s">
        <v>190</v>
      </c>
      <c r="W232">
        <v>3</v>
      </c>
      <c r="X232" t="s">
        <v>64</v>
      </c>
      <c r="Y232" t="s">
        <v>190</v>
      </c>
      <c r="Z232" t="s">
        <v>190</v>
      </c>
      <c r="AA232">
        <v>19.399999999999999</v>
      </c>
      <c r="AB232" t="s">
        <v>79</v>
      </c>
      <c r="AC232" t="s">
        <v>180</v>
      </c>
      <c r="AD232" t="s">
        <v>192</v>
      </c>
      <c r="AE232" t="s">
        <v>192</v>
      </c>
    </row>
    <row r="233" spans="1:31" x14ac:dyDescent="0.3">
      <c r="A233" t="s">
        <v>665</v>
      </c>
      <c r="B233" t="s">
        <v>666</v>
      </c>
      <c r="C233" t="s">
        <v>54</v>
      </c>
      <c r="D233" t="s">
        <v>158</v>
      </c>
      <c r="E233" t="s">
        <v>53</v>
      </c>
      <c r="F233" s="9">
        <v>45798</v>
      </c>
      <c r="G233" s="9">
        <v>45660</v>
      </c>
      <c r="H233" t="s">
        <v>70</v>
      </c>
      <c r="I233" t="s">
        <v>93</v>
      </c>
      <c r="J233" t="s">
        <v>69</v>
      </c>
      <c r="K233" t="s">
        <v>54</v>
      </c>
      <c r="L233" t="s">
        <v>87</v>
      </c>
      <c r="M233" t="s">
        <v>66</v>
      </c>
      <c r="N233">
        <v>5</v>
      </c>
      <c r="O233" t="s">
        <v>64</v>
      </c>
      <c r="P233" t="s">
        <v>54</v>
      </c>
      <c r="Q233" s="9">
        <v>45710</v>
      </c>
      <c r="R233" t="s">
        <v>57</v>
      </c>
      <c r="S233">
        <v>5</v>
      </c>
      <c r="T233">
        <v>3</v>
      </c>
      <c r="U233">
        <v>5</v>
      </c>
      <c r="V233" t="s">
        <v>64</v>
      </c>
      <c r="W233">
        <v>4</v>
      </c>
      <c r="X233" t="s">
        <v>54</v>
      </c>
      <c r="Y233" t="s">
        <v>68</v>
      </c>
      <c r="Z233" t="s">
        <v>190</v>
      </c>
      <c r="AA233">
        <v>11.3</v>
      </c>
      <c r="AB233" t="s">
        <v>71</v>
      </c>
      <c r="AC233" t="s">
        <v>180</v>
      </c>
      <c r="AD233" t="s">
        <v>207</v>
      </c>
      <c r="AE233" t="s">
        <v>243</v>
      </c>
    </row>
    <row r="234" spans="1:31" x14ac:dyDescent="0.3">
      <c r="A234" t="s">
        <v>667</v>
      </c>
      <c r="B234" t="s">
        <v>668</v>
      </c>
      <c r="C234" t="s">
        <v>54</v>
      </c>
      <c r="D234" t="s">
        <v>158</v>
      </c>
      <c r="E234" t="s">
        <v>53</v>
      </c>
      <c r="F234" s="9">
        <v>45882</v>
      </c>
      <c r="G234" s="9">
        <v>45791</v>
      </c>
      <c r="H234" t="s">
        <v>50</v>
      </c>
      <c r="I234" t="s">
        <v>72</v>
      </c>
      <c r="J234" t="s">
        <v>85</v>
      </c>
      <c r="K234" t="s">
        <v>54</v>
      </c>
      <c r="L234" t="s">
        <v>81</v>
      </c>
      <c r="M234" t="s">
        <v>66</v>
      </c>
      <c r="N234">
        <v>5</v>
      </c>
      <c r="O234" t="s">
        <v>64</v>
      </c>
      <c r="P234" t="s">
        <v>54</v>
      </c>
      <c r="Q234" s="9">
        <v>45846</v>
      </c>
      <c r="R234" t="s">
        <v>75</v>
      </c>
      <c r="S234">
        <v>5</v>
      </c>
      <c r="T234">
        <v>4</v>
      </c>
      <c r="U234">
        <v>5</v>
      </c>
      <c r="V234" t="s">
        <v>64</v>
      </c>
      <c r="W234">
        <v>3</v>
      </c>
      <c r="X234" t="s">
        <v>64</v>
      </c>
      <c r="Y234" t="s">
        <v>190</v>
      </c>
      <c r="Z234" t="s">
        <v>195</v>
      </c>
      <c r="AA234">
        <v>18</v>
      </c>
      <c r="AB234" t="s">
        <v>51</v>
      </c>
      <c r="AC234" t="s">
        <v>180</v>
      </c>
      <c r="AD234" t="s">
        <v>191</v>
      </c>
      <c r="AE234" t="s">
        <v>192</v>
      </c>
    </row>
    <row r="235" spans="1:31" x14ac:dyDescent="0.3">
      <c r="A235" t="s">
        <v>669</v>
      </c>
      <c r="B235" t="s">
        <v>670</v>
      </c>
      <c r="C235" t="s">
        <v>54</v>
      </c>
      <c r="D235" t="s">
        <v>158</v>
      </c>
      <c r="E235" t="s">
        <v>63</v>
      </c>
      <c r="F235" s="9">
        <v>45791</v>
      </c>
      <c r="G235" s="9">
        <v>45711</v>
      </c>
      <c r="H235" t="s">
        <v>70</v>
      </c>
      <c r="I235" t="s">
        <v>91</v>
      </c>
      <c r="J235" t="s">
        <v>69</v>
      </c>
      <c r="K235" t="s">
        <v>54</v>
      </c>
      <c r="L235" t="s">
        <v>73</v>
      </c>
      <c r="M235" t="s">
        <v>66</v>
      </c>
      <c r="N235">
        <v>4</v>
      </c>
      <c r="O235" t="s">
        <v>64</v>
      </c>
      <c r="P235" t="s">
        <v>54</v>
      </c>
      <c r="Q235" s="9">
        <v>45719</v>
      </c>
      <c r="R235" t="s">
        <v>57</v>
      </c>
      <c r="S235">
        <v>4</v>
      </c>
      <c r="T235">
        <v>3</v>
      </c>
      <c r="U235">
        <v>5</v>
      </c>
      <c r="V235" t="s">
        <v>54</v>
      </c>
      <c r="W235">
        <v>4</v>
      </c>
      <c r="X235" t="s">
        <v>64</v>
      </c>
      <c r="Y235" t="s">
        <v>190</v>
      </c>
      <c r="Z235" t="s">
        <v>242</v>
      </c>
      <c r="AA235">
        <v>17.399999999999999</v>
      </c>
      <c r="AB235" t="s">
        <v>71</v>
      </c>
      <c r="AC235" t="s">
        <v>181</v>
      </c>
      <c r="AD235" t="s">
        <v>207</v>
      </c>
      <c r="AE235" t="s">
        <v>192</v>
      </c>
    </row>
    <row r="236" spans="1:31" x14ac:dyDescent="0.3">
      <c r="A236" t="s">
        <v>671</v>
      </c>
      <c r="B236" t="s">
        <v>672</v>
      </c>
      <c r="C236" t="s">
        <v>54</v>
      </c>
      <c r="D236" t="s">
        <v>158</v>
      </c>
      <c r="E236" t="s">
        <v>63</v>
      </c>
      <c r="F236" s="9">
        <v>45764</v>
      </c>
      <c r="G236" s="9">
        <v>45723</v>
      </c>
      <c r="H236" t="s">
        <v>50</v>
      </c>
      <c r="I236" t="s">
        <v>62</v>
      </c>
      <c r="J236" t="s">
        <v>59</v>
      </c>
      <c r="K236" t="s">
        <v>54</v>
      </c>
      <c r="L236" t="s">
        <v>65</v>
      </c>
      <c r="M236" t="s">
        <v>66</v>
      </c>
      <c r="N236">
        <v>3</v>
      </c>
      <c r="O236" t="s">
        <v>64</v>
      </c>
      <c r="P236" t="s">
        <v>54</v>
      </c>
      <c r="Q236" s="9">
        <v>45749</v>
      </c>
      <c r="R236" t="s">
        <v>57</v>
      </c>
      <c r="S236">
        <v>3</v>
      </c>
      <c r="T236">
        <v>3</v>
      </c>
      <c r="U236">
        <v>4</v>
      </c>
      <c r="V236" t="s">
        <v>54</v>
      </c>
      <c r="W236">
        <v>4</v>
      </c>
      <c r="X236" t="s">
        <v>64</v>
      </c>
      <c r="Y236" t="s">
        <v>190</v>
      </c>
      <c r="Z236" t="s">
        <v>266</v>
      </c>
      <c r="AA236">
        <v>26.4</v>
      </c>
      <c r="AB236" t="s">
        <v>51</v>
      </c>
      <c r="AC236" t="s">
        <v>181</v>
      </c>
      <c r="AD236" t="s">
        <v>207</v>
      </c>
      <c r="AE236" t="s">
        <v>192</v>
      </c>
    </row>
    <row r="237" spans="1:31" x14ac:dyDescent="0.3">
      <c r="A237" t="s">
        <v>175</v>
      </c>
      <c r="B237" t="s">
        <v>176</v>
      </c>
      <c r="C237" t="s">
        <v>54</v>
      </c>
      <c r="D237" t="s">
        <v>158</v>
      </c>
      <c r="E237" t="s">
        <v>63</v>
      </c>
      <c r="F237" s="9">
        <v>45925</v>
      </c>
      <c r="G237" s="9">
        <v>45832</v>
      </c>
      <c r="H237" t="s">
        <v>60</v>
      </c>
      <c r="I237" t="s">
        <v>91</v>
      </c>
      <c r="J237" t="s">
        <v>59</v>
      </c>
      <c r="K237" t="s">
        <v>54</v>
      </c>
      <c r="L237" t="s">
        <v>65</v>
      </c>
      <c r="M237" t="s">
        <v>56</v>
      </c>
      <c r="N237">
        <v>3</v>
      </c>
      <c r="O237" t="s">
        <v>54</v>
      </c>
      <c r="P237" t="s">
        <v>54</v>
      </c>
      <c r="Q237" s="9">
        <v>45905</v>
      </c>
      <c r="R237" t="s">
        <v>75</v>
      </c>
      <c r="S237">
        <v>3</v>
      </c>
      <c r="T237">
        <v>2</v>
      </c>
      <c r="U237">
        <v>3</v>
      </c>
      <c r="V237" t="s">
        <v>54</v>
      </c>
      <c r="W237">
        <v>3</v>
      </c>
      <c r="X237" t="s">
        <v>64</v>
      </c>
      <c r="Y237" t="s">
        <v>190</v>
      </c>
      <c r="Z237" t="s">
        <v>190</v>
      </c>
      <c r="AA237">
        <v>22.6</v>
      </c>
      <c r="AB237" t="s">
        <v>61</v>
      </c>
      <c r="AC237" t="s">
        <v>181</v>
      </c>
      <c r="AD237" t="s">
        <v>191</v>
      </c>
      <c r="AE237" t="s">
        <v>192</v>
      </c>
    </row>
    <row r="238" spans="1:31" x14ac:dyDescent="0.3">
      <c r="A238" t="s">
        <v>673</v>
      </c>
      <c r="B238" t="s">
        <v>674</v>
      </c>
      <c r="C238" t="s">
        <v>54</v>
      </c>
      <c r="D238" t="s">
        <v>158</v>
      </c>
      <c r="E238" t="s">
        <v>53</v>
      </c>
      <c r="F238" s="9">
        <v>45757</v>
      </c>
      <c r="G238" s="9">
        <v>45611</v>
      </c>
      <c r="H238" t="s">
        <v>70</v>
      </c>
      <c r="I238" t="s">
        <v>93</v>
      </c>
      <c r="J238" t="s">
        <v>90</v>
      </c>
      <c r="K238" t="s">
        <v>54</v>
      </c>
      <c r="L238" t="s">
        <v>55</v>
      </c>
      <c r="M238" t="s">
        <v>66</v>
      </c>
      <c r="N238">
        <v>99</v>
      </c>
      <c r="O238" t="s">
        <v>64</v>
      </c>
      <c r="P238" t="s">
        <v>54</v>
      </c>
      <c r="Q238" s="9">
        <v>45635</v>
      </c>
      <c r="R238" t="s">
        <v>75</v>
      </c>
      <c r="S238">
        <v>5</v>
      </c>
      <c r="T238">
        <v>1</v>
      </c>
      <c r="U238">
        <v>2</v>
      </c>
      <c r="V238" t="s">
        <v>54</v>
      </c>
      <c r="W238">
        <v>4</v>
      </c>
      <c r="X238" t="s">
        <v>64</v>
      </c>
      <c r="Y238" t="s">
        <v>190</v>
      </c>
      <c r="Z238" t="s">
        <v>190</v>
      </c>
      <c r="AA238">
        <v>17</v>
      </c>
      <c r="AB238" t="s">
        <v>71</v>
      </c>
      <c r="AC238" t="s">
        <v>180</v>
      </c>
      <c r="AD238" t="s">
        <v>191</v>
      </c>
      <c r="AE238" t="s">
        <v>192</v>
      </c>
    </row>
    <row r="239" spans="1:31" x14ac:dyDescent="0.3">
      <c r="A239" t="s">
        <v>675</v>
      </c>
      <c r="B239" t="s">
        <v>676</v>
      </c>
      <c r="C239" t="s">
        <v>54</v>
      </c>
      <c r="D239" t="s">
        <v>158</v>
      </c>
      <c r="E239" t="s">
        <v>63</v>
      </c>
      <c r="F239" s="9">
        <v>45818</v>
      </c>
      <c r="G239" s="9">
        <v>45761</v>
      </c>
      <c r="H239" t="s">
        <v>78</v>
      </c>
      <c r="I239" t="s">
        <v>98</v>
      </c>
      <c r="J239" t="s">
        <v>94</v>
      </c>
      <c r="K239" t="s">
        <v>54</v>
      </c>
      <c r="L239" t="s">
        <v>55</v>
      </c>
      <c r="M239" t="s">
        <v>66</v>
      </c>
      <c r="N239">
        <v>8</v>
      </c>
      <c r="O239" t="s">
        <v>64</v>
      </c>
      <c r="P239" t="s">
        <v>64</v>
      </c>
      <c r="Q239" s="9"/>
      <c r="R239" t="s">
        <v>190</v>
      </c>
      <c r="V239" t="s">
        <v>190</v>
      </c>
      <c r="W239">
        <v>4</v>
      </c>
      <c r="X239" t="s">
        <v>64</v>
      </c>
      <c r="Y239" t="s">
        <v>190</v>
      </c>
      <c r="Z239" t="s">
        <v>190</v>
      </c>
      <c r="AA239">
        <v>13.1</v>
      </c>
      <c r="AB239" t="s">
        <v>79</v>
      </c>
      <c r="AC239" t="s">
        <v>181</v>
      </c>
      <c r="AD239" t="s">
        <v>192</v>
      </c>
      <c r="AE239" t="s">
        <v>192</v>
      </c>
    </row>
    <row r="240" spans="1:31" x14ac:dyDescent="0.3">
      <c r="A240" t="s">
        <v>677</v>
      </c>
      <c r="B240" t="s">
        <v>678</v>
      </c>
      <c r="C240" t="s">
        <v>54</v>
      </c>
      <c r="D240" t="s">
        <v>158</v>
      </c>
      <c r="E240" t="s">
        <v>63</v>
      </c>
      <c r="F240" s="9">
        <v>45804</v>
      </c>
      <c r="G240" s="9">
        <v>45704</v>
      </c>
      <c r="H240" t="s">
        <v>78</v>
      </c>
      <c r="I240" t="s">
        <v>98</v>
      </c>
      <c r="J240" t="s">
        <v>94</v>
      </c>
      <c r="K240" t="s">
        <v>54</v>
      </c>
      <c r="L240" t="s">
        <v>73</v>
      </c>
      <c r="M240" t="s">
        <v>56</v>
      </c>
      <c r="N240">
        <v>3</v>
      </c>
      <c r="O240" t="s">
        <v>64</v>
      </c>
      <c r="P240" t="s">
        <v>54</v>
      </c>
      <c r="Q240" s="9">
        <v>45765</v>
      </c>
      <c r="R240" t="s">
        <v>83</v>
      </c>
      <c r="S240">
        <v>4</v>
      </c>
      <c r="T240">
        <v>2</v>
      </c>
      <c r="U240">
        <v>4</v>
      </c>
      <c r="V240" t="s">
        <v>54</v>
      </c>
      <c r="W240">
        <v>4</v>
      </c>
      <c r="X240" t="s">
        <v>64</v>
      </c>
      <c r="Y240" t="s">
        <v>190</v>
      </c>
      <c r="Z240" t="s">
        <v>472</v>
      </c>
      <c r="AA240">
        <v>29.6</v>
      </c>
      <c r="AB240" t="s">
        <v>79</v>
      </c>
      <c r="AC240" t="s">
        <v>181</v>
      </c>
      <c r="AD240" t="s">
        <v>196</v>
      </c>
      <c r="AE240" t="s">
        <v>192</v>
      </c>
    </row>
    <row r="241" spans="1:31" x14ac:dyDescent="0.3">
      <c r="A241" t="s">
        <v>679</v>
      </c>
      <c r="B241" t="s">
        <v>680</v>
      </c>
      <c r="C241" t="s">
        <v>54</v>
      </c>
      <c r="D241" t="s">
        <v>158</v>
      </c>
      <c r="E241" t="s">
        <v>63</v>
      </c>
      <c r="F241" s="9">
        <v>45797</v>
      </c>
      <c r="G241" s="9">
        <v>45712</v>
      </c>
      <c r="H241" t="s">
        <v>70</v>
      </c>
      <c r="I241" t="s">
        <v>91</v>
      </c>
      <c r="J241" t="s">
        <v>92</v>
      </c>
      <c r="K241" t="s">
        <v>54</v>
      </c>
      <c r="L241" t="s">
        <v>65</v>
      </c>
      <c r="M241" t="s">
        <v>66</v>
      </c>
      <c r="N241">
        <v>7</v>
      </c>
      <c r="O241" t="s">
        <v>64</v>
      </c>
      <c r="P241" t="s">
        <v>54</v>
      </c>
      <c r="Q241" s="9">
        <v>45790</v>
      </c>
      <c r="R241" t="s">
        <v>57</v>
      </c>
      <c r="S241">
        <v>4</v>
      </c>
      <c r="T241">
        <v>2</v>
      </c>
      <c r="U241">
        <v>3</v>
      </c>
      <c r="V241" t="s">
        <v>54</v>
      </c>
      <c r="W241">
        <v>4</v>
      </c>
      <c r="X241" t="s">
        <v>64</v>
      </c>
      <c r="Y241" t="s">
        <v>190</v>
      </c>
      <c r="Z241" t="s">
        <v>358</v>
      </c>
      <c r="AA241">
        <v>28.8</v>
      </c>
      <c r="AB241" t="s">
        <v>71</v>
      </c>
      <c r="AC241" t="s">
        <v>181</v>
      </c>
      <c r="AD241" t="s">
        <v>207</v>
      </c>
      <c r="AE241" t="s">
        <v>192</v>
      </c>
    </row>
    <row r="242" spans="1:31" x14ac:dyDescent="0.3">
      <c r="A242" t="s">
        <v>681</v>
      </c>
      <c r="B242" t="s">
        <v>682</v>
      </c>
      <c r="C242" t="s">
        <v>54</v>
      </c>
      <c r="D242" t="s">
        <v>158</v>
      </c>
      <c r="E242" t="s">
        <v>63</v>
      </c>
      <c r="F242" s="9">
        <v>45774</v>
      </c>
      <c r="G242" s="9">
        <v>45655</v>
      </c>
      <c r="H242" t="s">
        <v>70</v>
      </c>
      <c r="I242" t="s">
        <v>91</v>
      </c>
      <c r="J242" t="s">
        <v>90</v>
      </c>
      <c r="K242" t="s">
        <v>54</v>
      </c>
      <c r="L242" t="s">
        <v>65</v>
      </c>
      <c r="M242" t="s">
        <v>56</v>
      </c>
      <c r="N242">
        <v>7</v>
      </c>
      <c r="O242" t="s">
        <v>64</v>
      </c>
      <c r="P242" t="s">
        <v>54</v>
      </c>
      <c r="Q242" s="9">
        <v>45692</v>
      </c>
      <c r="R242" t="s">
        <v>57</v>
      </c>
      <c r="S242">
        <v>5</v>
      </c>
      <c r="T242">
        <v>3</v>
      </c>
      <c r="U242">
        <v>4</v>
      </c>
      <c r="V242" t="s">
        <v>54</v>
      </c>
      <c r="W242">
        <v>3</v>
      </c>
      <c r="X242" t="s">
        <v>54</v>
      </c>
      <c r="Y242" t="s">
        <v>58</v>
      </c>
      <c r="Z242" t="s">
        <v>190</v>
      </c>
      <c r="AA242">
        <v>20.9</v>
      </c>
      <c r="AB242" t="s">
        <v>71</v>
      </c>
      <c r="AC242" t="s">
        <v>181</v>
      </c>
      <c r="AD242" t="s">
        <v>207</v>
      </c>
      <c r="AE242" t="s">
        <v>222</v>
      </c>
    </row>
    <row r="243" spans="1:31" x14ac:dyDescent="0.3">
      <c r="A243" t="s">
        <v>683</v>
      </c>
      <c r="B243" t="s">
        <v>684</v>
      </c>
      <c r="C243" t="s">
        <v>54</v>
      </c>
      <c r="D243" t="s">
        <v>158</v>
      </c>
      <c r="E243" t="s">
        <v>63</v>
      </c>
      <c r="F243" s="9">
        <v>45897</v>
      </c>
      <c r="G243" s="9">
        <v>45781</v>
      </c>
      <c r="H243" t="s">
        <v>50</v>
      </c>
      <c r="I243" t="s">
        <v>72</v>
      </c>
      <c r="J243" t="s">
        <v>85</v>
      </c>
      <c r="K243" t="s">
        <v>54</v>
      </c>
      <c r="L243" t="s">
        <v>55</v>
      </c>
      <c r="M243" t="s">
        <v>82</v>
      </c>
      <c r="N243">
        <v>3</v>
      </c>
      <c r="O243" t="s">
        <v>64</v>
      </c>
      <c r="P243" t="s">
        <v>54</v>
      </c>
      <c r="Q243" s="9">
        <v>45798</v>
      </c>
      <c r="R243" t="s">
        <v>67</v>
      </c>
      <c r="S243">
        <v>3</v>
      </c>
      <c r="T243">
        <v>2</v>
      </c>
      <c r="U243">
        <v>2</v>
      </c>
      <c r="V243" t="s">
        <v>54</v>
      </c>
      <c r="W243">
        <v>5</v>
      </c>
      <c r="X243" t="s">
        <v>64</v>
      </c>
      <c r="Y243" t="s">
        <v>190</v>
      </c>
      <c r="Z243" t="s">
        <v>190</v>
      </c>
      <c r="AA243">
        <v>26.1</v>
      </c>
      <c r="AB243" t="s">
        <v>51</v>
      </c>
      <c r="AC243" t="s">
        <v>181</v>
      </c>
      <c r="AD243" t="s">
        <v>201</v>
      </c>
      <c r="AE243" t="s">
        <v>192</v>
      </c>
    </row>
    <row r="244" spans="1:31" x14ac:dyDescent="0.3">
      <c r="A244" t="s">
        <v>685</v>
      </c>
      <c r="B244" t="s">
        <v>686</v>
      </c>
      <c r="C244" t="s">
        <v>54</v>
      </c>
      <c r="D244" t="s">
        <v>158</v>
      </c>
      <c r="E244" t="s">
        <v>63</v>
      </c>
      <c r="F244" s="9">
        <v>45847</v>
      </c>
      <c r="G244" s="9">
        <v>45703</v>
      </c>
      <c r="H244" t="s">
        <v>50</v>
      </c>
      <c r="I244" t="s">
        <v>52</v>
      </c>
      <c r="J244" t="s">
        <v>69</v>
      </c>
      <c r="K244" t="s">
        <v>54</v>
      </c>
      <c r="L244" t="s">
        <v>65</v>
      </c>
      <c r="M244" t="s">
        <v>66</v>
      </c>
      <c r="N244">
        <v>6</v>
      </c>
      <c r="O244" t="s">
        <v>64</v>
      </c>
      <c r="P244" t="s">
        <v>54</v>
      </c>
      <c r="Q244" s="9">
        <v>45782</v>
      </c>
      <c r="R244" t="s">
        <v>67</v>
      </c>
      <c r="S244">
        <v>4</v>
      </c>
      <c r="T244">
        <v>1</v>
      </c>
      <c r="U244">
        <v>3</v>
      </c>
      <c r="V244" t="s">
        <v>54</v>
      </c>
      <c r="W244">
        <v>3</v>
      </c>
      <c r="X244" t="s">
        <v>54</v>
      </c>
      <c r="Y244" t="s">
        <v>76</v>
      </c>
      <c r="Z244" t="s">
        <v>327</v>
      </c>
      <c r="AA244">
        <v>13.8</v>
      </c>
      <c r="AB244" t="s">
        <v>51</v>
      </c>
      <c r="AC244" t="s">
        <v>181</v>
      </c>
      <c r="AD244" t="s">
        <v>201</v>
      </c>
      <c r="AE244" t="s">
        <v>237</v>
      </c>
    </row>
    <row r="245" spans="1:31" x14ac:dyDescent="0.3">
      <c r="A245" t="s">
        <v>687</v>
      </c>
      <c r="B245" t="s">
        <v>688</v>
      </c>
      <c r="C245" t="s">
        <v>54</v>
      </c>
      <c r="D245" t="s">
        <v>158</v>
      </c>
      <c r="E245" t="s">
        <v>53</v>
      </c>
      <c r="F245" s="9">
        <v>45925</v>
      </c>
      <c r="G245" s="9">
        <v>45851</v>
      </c>
      <c r="H245" t="s">
        <v>60</v>
      </c>
      <c r="I245" t="s">
        <v>80</v>
      </c>
      <c r="J245" t="s">
        <v>85</v>
      </c>
      <c r="K245" t="s">
        <v>54</v>
      </c>
      <c r="L245" t="s">
        <v>81</v>
      </c>
      <c r="M245" t="s">
        <v>66</v>
      </c>
      <c r="N245">
        <v>4</v>
      </c>
      <c r="O245" t="s">
        <v>54</v>
      </c>
      <c r="P245" t="s">
        <v>64</v>
      </c>
      <c r="Q245" s="9"/>
      <c r="R245" t="s">
        <v>190</v>
      </c>
      <c r="V245" t="s">
        <v>190</v>
      </c>
      <c r="W245">
        <v>4</v>
      </c>
      <c r="X245" t="s">
        <v>64</v>
      </c>
      <c r="Y245" t="s">
        <v>190</v>
      </c>
      <c r="Z245" t="s">
        <v>190</v>
      </c>
      <c r="AA245">
        <v>25.8</v>
      </c>
      <c r="AB245" t="s">
        <v>61</v>
      </c>
      <c r="AC245" t="s">
        <v>180</v>
      </c>
      <c r="AD245" t="s">
        <v>192</v>
      </c>
      <c r="AE245" t="s">
        <v>192</v>
      </c>
    </row>
    <row r="246" spans="1:31" x14ac:dyDescent="0.3">
      <c r="A246" t="s">
        <v>177</v>
      </c>
      <c r="B246" t="s">
        <v>178</v>
      </c>
      <c r="C246" t="s">
        <v>54</v>
      </c>
      <c r="D246" t="s">
        <v>158</v>
      </c>
      <c r="E246" t="s">
        <v>63</v>
      </c>
      <c r="F246" s="9">
        <v>45781</v>
      </c>
      <c r="G246" s="9">
        <v>45673</v>
      </c>
      <c r="H246" t="s">
        <v>78</v>
      </c>
      <c r="I246" t="s">
        <v>98</v>
      </c>
      <c r="J246" t="s">
        <v>88</v>
      </c>
      <c r="K246" t="s">
        <v>54</v>
      </c>
      <c r="L246" t="s">
        <v>65</v>
      </c>
      <c r="M246" t="s">
        <v>56</v>
      </c>
      <c r="N246">
        <v>4</v>
      </c>
      <c r="O246" t="s">
        <v>54</v>
      </c>
      <c r="P246" t="s">
        <v>64</v>
      </c>
      <c r="Q246" s="9">
        <v>45781</v>
      </c>
      <c r="R246" t="s">
        <v>75</v>
      </c>
      <c r="S246">
        <v>4</v>
      </c>
      <c r="T246">
        <v>2</v>
      </c>
      <c r="U246">
        <v>4</v>
      </c>
      <c r="V246" t="s">
        <v>54</v>
      </c>
      <c r="W246">
        <v>2</v>
      </c>
      <c r="X246" t="s">
        <v>64</v>
      </c>
      <c r="Y246" t="s">
        <v>190</v>
      </c>
      <c r="Z246" t="s">
        <v>190</v>
      </c>
      <c r="AA246">
        <v>17.5</v>
      </c>
      <c r="AB246" t="s">
        <v>79</v>
      </c>
      <c r="AC246" t="s">
        <v>181</v>
      </c>
      <c r="AD246" t="s">
        <v>191</v>
      </c>
      <c r="AE246" t="s">
        <v>192</v>
      </c>
    </row>
    <row r="247" spans="1:31" x14ac:dyDescent="0.3">
      <c r="A247" t="s">
        <v>689</v>
      </c>
      <c r="B247" t="s">
        <v>690</v>
      </c>
      <c r="C247" t="s">
        <v>54</v>
      </c>
      <c r="D247" t="s">
        <v>158</v>
      </c>
      <c r="E247" t="s">
        <v>53</v>
      </c>
      <c r="F247" s="9">
        <v>45811</v>
      </c>
      <c r="G247" s="9">
        <v>45672</v>
      </c>
      <c r="H247" t="s">
        <v>70</v>
      </c>
      <c r="I247" t="s">
        <v>93</v>
      </c>
      <c r="J247" t="s">
        <v>88</v>
      </c>
      <c r="K247" t="s">
        <v>54</v>
      </c>
      <c r="L247" t="s">
        <v>81</v>
      </c>
      <c r="M247" t="s">
        <v>66</v>
      </c>
      <c r="N247">
        <v>4</v>
      </c>
      <c r="O247" t="s">
        <v>64</v>
      </c>
      <c r="P247" t="s">
        <v>64</v>
      </c>
      <c r="Q247" s="9"/>
      <c r="R247" t="s">
        <v>190</v>
      </c>
      <c r="V247" t="s">
        <v>190</v>
      </c>
      <c r="W247">
        <v>5</v>
      </c>
      <c r="X247" t="s">
        <v>54</v>
      </c>
      <c r="Y247" t="s">
        <v>68</v>
      </c>
      <c r="Z247" t="s">
        <v>190</v>
      </c>
      <c r="AA247">
        <v>7.1</v>
      </c>
      <c r="AB247" t="s">
        <v>71</v>
      </c>
      <c r="AC247" t="s">
        <v>180</v>
      </c>
      <c r="AD247" t="s">
        <v>192</v>
      </c>
      <c r="AE247" t="s">
        <v>243</v>
      </c>
    </row>
    <row r="248" spans="1:31" x14ac:dyDescent="0.3">
      <c r="A248" t="s">
        <v>691</v>
      </c>
      <c r="B248" t="s">
        <v>692</v>
      </c>
      <c r="C248" t="s">
        <v>54</v>
      </c>
      <c r="D248" t="s">
        <v>158</v>
      </c>
      <c r="E248" t="s">
        <v>63</v>
      </c>
      <c r="F248" s="9">
        <v>45892</v>
      </c>
      <c r="G248" s="9">
        <v>45754</v>
      </c>
      <c r="H248" t="s">
        <v>50</v>
      </c>
      <c r="I248" t="s">
        <v>72</v>
      </c>
      <c r="J248" t="s">
        <v>94</v>
      </c>
      <c r="K248" t="s">
        <v>54</v>
      </c>
      <c r="L248" t="s">
        <v>73</v>
      </c>
      <c r="M248" t="s">
        <v>56</v>
      </c>
      <c r="N248">
        <v>45</v>
      </c>
      <c r="O248" t="s">
        <v>64</v>
      </c>
      <c r="P248" t="s">
        <v>54</v>
      </c>
      <c r="Q248" s="9">
        <v>45873</v>
      </c>
      <c r="R248" t="s">
        <v>67</v>
      </c>
      <c r="S248">
        <v>4</v>
      </c>
      <c r="T248">
        <v>1</v>
      </c>
      <c r="U248">
        <v>2</v>
      </c>
      <c r="V248" t="s">
        <v>54</v>
      </c>
      <c r="W248">
        <v>4</v>
      </c>
      <c r="X248" t="s">
        <v>54</v>
      </c>
      <c r="Y248" t="s">
        <v>68</v>
      </c>
      <c r="Z248" t="s">
        <v>190</v>
      </c>
      <c r="AA248">
        <v>11.5</v>
      </c>
      <c r="AB248" t="s">
        <v>51</v>
      </c>
      <c r="AC248" t="s">
        <v>181</v>
      </c>
      <c r="AD248" t="s">
        <v>201</v>
      </c>
      <c r="AE248" t="s">
        <v>243</v>
      </c>
    </row>
    <row r="249" spans="1:31" x14ac:dyDescent="0.3">
      <c r="A249" t="s">
        <v>693</v>
      </c>
      <c r="B249" t="s">
        <v>694</v>
      </c>
      <c r="C249" t="s">
        <v>54</v>
      </c>
      <c r="D249" t="s">
        <v>158</v>
      </c>
      <c r="E249" t="s">
        <v>63</v>
      </c>
      <c r="F249" s="9">
        <v>45835</v>
      </c>
      <c r="G249" s="9">
        <v>45794</v>
      </c>
      <c r="H249" t="s">
        <v>50</v>
      </c>
      <c r="I249" t="s">
        <v>52</v>
      </c>
      <c r="J249" t="s">
        <v>90</v>
      </c>
      <c r="K249" t="s">
        <v>54</v>
      </c>
      <c r="L249" t="s">
        <v>81</v>
      </c>
      <c r="M249" t="s">
        <v>66</v>
      </c>
      <c r="N249">
        <v>6</v>
      </c>
      <c r="O249" t="s">
        <v>64</v>
      </c>
      <c r="P249" t="s">
        <v>64</v>
      </c>
      <c r="Q249" s="9"/>
      <c r="R249" t="s">
        <v>190</v>
      </c>
      <c r="V249" t="s">
        <v>190</v>
      </c>
      <c r="W249">
        <v>5</v>
      </c>
      <c r="X249" t="s">
        <v>64</v>
      </c>
      <c r="Y249" t="s">
        <v>190</v>
      </c>
      <c r="Z249" t="s">
        <v>190</v>
      </c>
      <c r="AA249">
        <v>11.4</v>
      </c>
      <c r="AB249" t="s">
        <v>51</v>
      </c>
      <c r="AC249" t="s">
        <v>181</v>
      </c>
      <c r="AD249" t="s">
        <v>192</v>
      </c>
      <c r="AE249" t="s">
        <v>192</v>
      </c>
    </row>
    <row r="250" spans="1:31" x14ac:dyDescent="0.3">
      <c r="A250" t="s">
        <v>695</v>
      </c>
      <c r="B250" t="s">
        <v>696</v>
      </c>
      <c r="C250" t="s">
        <v>54</v>
      </c>
      <c r="D250" t="s">
        <v>158</v>
      </c>
      <c r="E250" t="s">
        <v>53</v>
      </c>
      <c r="F250" s="9">
        <v>45814</v>
      </c>
      <c r="G250" s="9">
        <v>45745</v>
      </c>
      <c r="H250" t="s">
        <v>70</v>
      </c>
      <c r="I250" t="s">
        <v>95</v>
      </c>
      <c r="J250" t="s">
        <v>85</v>
      </c>
      <c r="K250" t="s">
        <v>54</v>
      </c>
      <c r="L250" t="s">
        <v>55</v>
      </c>
      <c r="M250" t="s">
        <v>66</v>
      </c>
      <c r="N250">
        <v>3</v>
      </c>
      <c r="O250" t="s">
        <v>64</v>
      </c>
      <c r="P250" t="s">
        <v>54</v>
      </c>
      <c r="Q250" s="9">
        <v>45750</v>
      </c>
      <c r="R250" t="s">
        <v>75</v>
      </c>
      <c r="S250">
        <v>4</v>
      </c>
      <c r="T250">
        <v>2</v>
      </c>
      <c r="U250">
        <v>4</v>
      </c>
      <c r="V250" t="s">
        <v>54</v>
      </c>
      <c r="W250">
        <v>5</v>
      </c>
      <c r="X250" t="s">
        <v>64</v>
      </c>
      <c r="Y250" t="s">
        <v>190</v>
      </c>
      <c r="Z250" t="s">
        <v>190</v>
      </c>
      <c r="AA250">
        <v>15.5</v>
      </c>
      <c r="AB250" t="s">
        <v>71</v>
      </c>
      <c r="AC250" t="s">
        <v>180</v>
      </c>
      <c r="AD250" t="s">
        <v>191</v>
      </c>
      <c r="AE250" t="s">
        <v>192</v>
      </c>
    </row>
    <row r="251" spans="1:31" x14ac:dyDescent="0.3">
      <c r="A251" t="s">
        <v>697</v>
      </c>
      <c r="B251" t="s">
        <v>698</v>
      </c>
      <c r="C251" t="s">
        <v>54</v>
      </c>
      <c r="D251" t="s">
        <v>158</v>
      </c>
      <c r="E251" t="s">
        <v>53</v>
      </c>
      <c r="F251" s="9">
        <v>45824</v>
      </c>
      <c r="G251" s="9">
        <v>45734</v>
      </c>
      <c r="H251" t="s">
        <v>60</v>
      </c>
      <c r="I251" t="s">
        <v>86</v>
      </c>
      <c r="J251" t="s">
        <v>77</v>
      </c>
      <c r="K251" t="s">
        <v>54</v>
      </c>
      <c r="L251" t="s">
        <v>73</v>
      </c>
      <c r="M251" t="s">
        <v>74</v>
      </c>
      <c r="N251">
        <v>7</v>
      </c>
      <c r="O251" t="s">
        <v>54</v>
      </c>
      <c r="P251" t="s">
        <v>64</v>
      </c>
      <c r="Q251" s="9"/>
      <c r="R251" t="s">
        <v>190</v>
      </c>
      <c r="V251" t="s">
        <v>190</v>
      </c>
      <c r="W251">
        <v>5</v>
      </c>
      <c r="X251" t="s">
        <v>64</v>
      </c>
      <c r="Y251" t="s">
        <v>190</v>
      </c>
      <c r="Z251" t="s">
        <v>190</v>
      </c>
      <c r="AA251">
        <v>4</v>
      </c>
      <c r="AB251" t="s">
        <v>61</v>
      </c>
      <c r="AC251" t="s">
        <v>180</v>
      </c>
      <c r="AD251" t="s">
        <v>192</v>
      </c>
      <c r="AE251" t="s">
        <v>192</v>
      </c>
    </row>
    <row r="252" spans="1:31" x14ac:dyDescent="0.3">
      <c r="A252" t="s">
        <v>699</v>
      </c>
      <c r="B252" t="s">
        <v>700</v>
      </c>
      <c r="C252" t="s">
        <v>54</v>
      </c>
      <c r="D252" t="s">
        <v>158</v>
      </c>
      <c r="E252" t="s">
        <v>53</v>
      </c>
      <c r="F252" s="9">
        <v>45908</v>
      </c>
      <c r="G252" s="9">
        <v>45853</v>
      </c>
      <c r="H252" t="s">
        <v>50</v>
      </c>
      <c r="I252" t="s">
        <v>72</v>
      </c>
      <c r="J252" t="s">
        <v>90</v>
      </c>
      <c r="K252" t="s">
        <v>54</v>
      </c>
      <c r="L252" t="s">
        <v>73</v>
      </c>
      <c r="M252" t="s">
        <v>56</v>
      </c>
      <c r="N252">
        <v>7</v>
      </c>
      <c r="O252" t="s">
        <v>64</v>
      </c>
      <c r="P252" t="s">
        <v>54</v>
      </c>
      <c r="Q252" s="9">
        <v>45879</v>
      </c>
      <c r="R252" t="s">
        <v>75</v>
      </c>
      <c r="S252">
        <v>3</v>
      </c>
      <c r="T252">
        <v>4</v>
      </c>
      <c r="U252">
        <v>5</v>
      </c>
      <c r="V252" t="s">
        <v>64</v>
      </c>
      <c r="W252">
        <v>5</v>
      </c>
      <c r="X252" t="s">
        <v>64</v>
      </c>
      <c r="Y252" t="s">
        <v>190</v>
      </c>
      <c r="Z252" t="s">
        <v>190</v>
      </c>
      <c r="AA252">
        <v>23.7</v>
      </c>
      <c r="AB252" t="s">
        <v>51</v>
      </c>
      <c r="AC252" t="s">
        <v>180</v>
      </c>
      <c r="AD252" t="s">
        <v>191</v>
      </c>
      <c r="AE252" t="s">
        <v>192</v>
      </c>
    </row>
    <row r="253" spans="1:31" x14ac:dyDescent="0.3">
      <c r="A253" t="s">
        <v>701</v>
      </c>
      <c r="B253" t="s">
        <v>702</v>
      </c>
      <c r="C253" t="s">
        <v>54</v>
      </c>
      <c r="D253" t="s">
        <v>158</v>
      </c>
      <c r="E253" t="s">
        <v>63</v>
      </c>
      <c r="F253" s="9">
        <v>45771</v>
      </c>
      <c r="G253" s="9">
        <v>45735</v>
      </c>
      <c r="H253" t="s">
        <v>60</v>
      </c>
      <c r="I253" t="s">
        <v>190</v>
      </c>
      <c r="J253" t="s">
        <v>69</v>
      </c>
      <c r="K253" t="s">
        <v>54</v>
      </c>
      <c r="L253" t="s">
        <v>65</v>
      </c>
      <c r="M253" t="s">
        <v>56</v>
      </c>
      <c r="N253">
        <v>7</v>
      </c>
      <c r="O253" t="s">
        <v>64</v>
      </c>
      <c r="P253" t="s">
        <v>54</v>
      </c>
      <c r="Q253" s="9">
        <v>45738</v>
      </c>
      <c r="R253" t="s">
        <v>75</v>
      </c>
      <c r="S253">
        <v>4</v>
      </c>
      <c r="T253">
        <v>3</v>
      </c>
      <c r="U253">
        <v>4</v>
      </c>
      <c r="V253" t="s">
        <v>54</v>
      </c>
      <c r="W253">
        <v>3</v>
      </c>
      <c r="X253" t="s">
        <v>54</v>
      </c>
      <c r="Y253" t="s">
        <v>68</v>
      </c>
      <c r="Z253" t="s">
        <v>322</v>
      </c>
      <c r="AA253">
        <v>14.3</v>
      </c>
      <c r="AB253" t="s">
        <v>61</v>
      </c>
      <c r="AC253" t="s">
        <v>181</v>
      </c>
      <c r="AD253" t="s">
        <v>191</v>
      </c>
      <c r="AE253" t="s">
        <v>243</v>
      </c>
    </row>
    <row r="254" spans="1:31" x14ac:dyDescent="0.3">
      <c r="A254" t="s">
        <v>703</v>
      </c>
      <c r="B254" t="s">
        <v>704</v>
      </c>
      <c r="C254" t="s">
        <v>54</v>
      </c>
      <c r="D254" t="s">
        <v>158</v>
      </c>
      <c r="E254" t="s">
        <v>53</v>
      </c>
      <c r="F254" s="9">
        <v>45786</v>
      </c>
      <c r="G254" s="9">
        <v>45691</v>
      </c>
      <c r="H254" t="s">
        <v>70</v>
      </c>
      <c r="I254" t="s">
        <v>95</v>
      </c>
      <c r="J254" t="s">
        <v>88</v>
      </c>
      <c r="K254" t="s">
        <v>54</v>
      </c>
      <c r="L254" t="s">
        <v>65</v>
      </c>
      <c r="M254" t="s">
        <v>56</v>
      </c>
      <c r="N254">
        <v>7</v>
      </c>
      <c r="O254" t="s">
        <v>54</v>
      </c>
      <c r="P254" t="s">
        <v>54</v>
      </c>
      <c r="Q254" s="9">
        <v>45757</v>
      </c>
      <c r="R254" t="s">
        <v>57</v>
      </c>
      <c r="S254">
        <v>4</v>
      </c>
      <c r="T254">
        <v>4</v>
      </c>
      <c r="U254">
        <v>4</v>
      </c>
      <c r="V254" t="s">
        <v>54</v>
      </c>
      <c r="W254">
        <v>4</v>
      </c>
      <c r="X254" t="s">
        <v>64</v>
      </c>
      <c r="Y254" t="s">
        <v>190</v>
      </c>
      <c r="Z254" t="s">
        <v>190</v>
      </c>
      <c r="AA254">
        <v>17.399999999999999</v>
      </c>
      <c r="AB254" t="s">
        <v>71</v>
      </c>
      <c r="AC254" t="s">
        <v>180</v>
      </c>
      <c r="AD254" t="s">
        <v>207</v>
      </c>
      <c r="AE254" t="s">
        <v>192</v>
      </c>
    </row>
    <row r="255" spans="1:31" x14ac:dyDescent="0.3">
      <c r="A255" t="s">
        <v>705</v>
      </c>
      <c r="B255" t="s">
        <v>706</v>
      </c>
      <c r="C255" t="s">
        <v>54</v>
      </c>
      <c r="D255" t="s">
        <v>158</v>
      </c>
      <c r="E255" t="s">
        <v>63</v>
      </c>
      <c r="F255" s="9">
        <v>45813</v>
      </c>
      <c r="G255" s="9">
        <v>45679</v>
      </c>
      <c r="H255" t="s">
        <v>70</v>
      </c>
      <c r="I255" t="s">
        <v>91</v>
      </c>
      <c r="J255" t="s">
        <v>69</v>
      </c>
      <c r="K255" t="s">
        <v>54</v>
      </c>
      <c r="L255" t="s">
        <v>65</v>
      </c>
      <c r="M255" t="s">
        <v>56</v>
      </c>
      <c r="N255">
        <v>10</v>
      </c>
      <c r="O255" t="s">
        <v>64</v>
      </c>
      <c r="P255" t="s">
        <v>54</v>
      </c>
      <c r="Q255" s="9">
        <v>45720</v>
      </c>
      <c r="R255" t="s">
        <v>57</v>
      </c>
      <c r="S255">
        <v>4</v>
      </c>
      <c r="T255">
        <v>1</v>
      </c>
      <c r="U255">
        <v>3</v>
      </c>
      <c r="V255" t="s">
        <v>54</v>
      </c>
      <c r="W255">
        <v>4</v>
      </c>
      <c r="X255" t="s">
        <v>64</v>
      </c>
      <c r="Y255" t="s">
        <v>190</v>
      </c>
      <c r="Z255" t="s">
        <v>190</v>
      </c>
      <c r="AA255">
        <v>25.6</v>
      </c>
      <c r="AB255" t="s">
        <v>71</v>
      </c>
      <c r="AC255" t="s">
        <v>181</v>
      </c>
      <c r="AD255" t="s">
        <v>207</v>
      </c>
      <c r="AE255" t="s">
        <v>192</v>
      </c>
    </row>
    <row r="256" spans="1:31" x14ac:dyDescent="0.3">
      <c r="A256" t="s">
        <v>707</v>
      </c>
      <c r="B256" t="s">
        <v>708</v>
      </c>
      <c r="C256" t="s">
        <v>54</v>
      </c>
      <c r="D256" t="s">
        <v>158</v>
      </c>
      <c r="E256" t="s">
        <v>63</v>
      </c>
      <c r="F256" s="9">
        <v>45900</v>
      </c>
      <c r="G256" s="9">
        <v>45775</v>
      </c>
      <c r="H256" t="s">
        <v>78</v>
      </c>
      <c r="I256" t="s">
        <v>96</v>
      </c>
      <c r="J256" t="s">
        <v>88</v>
      </c>
      <c r="K256" t="s">
        <v>54</v>
      </c>
      <c r="L256" t="s">
        <v>55</v>
      </c>
      <c r="M256" t="s">
        <v>66</v>
      </c>
      <c r="N256">
        <v>6</v>
      </c>
      <c r="O256" t="s">
        <v>64</v>
      </c>
      <c r="P256" t="s">
        <v>64</v>
      </c>
      <c r="Q256" s="9"/>
      <c r="R256" t="s">
        <v>190</v>
      </c>
      <c r="V256" t="s">
        <v>190</v>
      </c>
      <c r="W256">
        <v>4</v>
      </c>
      <c r="X256" t="s">
        <v>54</v>
      </c>
      <c r="Y256" t="s">
        <v>76</v>
      </c>
      <c r="Z256" t="s">
        <v>190</v>
      </c>
      <c r="AA256">
        <v>18.8</v>
      </c>
      <c r="AB256" t="s">
        <v>79</v>
      </c>
      <c r="AC256" t="s">
        <v>181</v>
      </c>
      <c r="AD256" t="s">
        <v>192</v>
      </c>
      <c r="AE256" t="s">
        <v>237</v>
      </c>
    </row>
    <row r="257" spans="1:31" x14ac:dyDescent="0.3">
      <c r="A257" t="s">
        <v>709</v>
      </c>
      <c r="B257" t="s">
        <v>710</v>
      </c>
      <c r="C257" t="s">
        <v>54</v>
      </c>
      <c r="D257" t="s">
        <v>158</v>
      </c>
      <c r="E257" t="s">
        <v>63</v>
      </c>
      <c r="F257" s="9">
        <v>45930</v>
      </c>
      <c r="G257" s="9">
        <v>45853</v>
      </c>
      <c r="H257" t="s">
        <v>50</v>
      </c>
      <c r="I257" t="s">
        <v>52</v>
      </c>
      <c r="J257" t="s">
        <v>94</v>
      </c>
      <c r="K257" t="s">
        <v>54</v>
      </c>
      <c r="L257" t="s">
        <v>73</v>
      </c>
      <c r="M257" t="s">
        <v>82</v>
      </c>
      <c r="N257">
        <v>5</v>
      </c>
      <c r="O257" t="s">
        <v>54</v>
      </c>
      <c r="P257" t="s">
        <v>54</v>
      </c>
      <c r="Q257" s="9">
        <v>45927</v>
      </c>
      <c r="R257" t="s">
        <v>75</v>
      </c>
      <c r="S257">
        <v>3</v>
      </c>
      <c r="T257">
        <v>2</v>
      </c>
      <c r="U257">
        <v>4</v>
      </c>
      <c r="V257" t="s">
        <v>54</v>
      </c>
      <c r="W257">
        <v>5</v>
      </c>
      <c r="X257" t="s">
        <v>64</v>
      </c>
      <c r="Y257" t="s">
        <v>190</v>
      </c>
      <c r="Z257" t="s">
        <v>190</v>
      </c>
      <c r="AA257">
        <v>13.1</v>
      </c>
      <c r="AB257" t="s">
        <v>51</v>
      </c>
      <c r="AC257" t="s">
        <v>181</v>
      </c>
      <c r="AD257" t="s">
        <v>191</v>
      </c>
      <c r="AE257" t="s">
        <v>192</v>
      </c>
    </row>
    <row r="258" spans="1:31" x14ac:dyDescent="0.3">
      <c r="A258" t="s">
        <v>711</v>
      </c>
      <c r="B258" t="s">
        <v>712</v>
      </c>
      <c r="C258" t="s">
        <v>54</v>
      </c>
      <c r="D258" t="s">
        <v>158</v>
      </c>
      <c r="E258" t="s">
        <v>53</v>
      </c>
      <c r="F258" s="9">
        <v>45850</v>
      </c>
      <c r="G258" s="9">
        <v>45727</v>
      </c>
      <c r="H258" t="s">
        <v>78</v>
      </c>
      <c r="I258" t="s">
        <v>98</v>
      </c>
      <c r="J258" t="s">
        <v>92</v>
      </c>
      <c r="K258" t="s">
        <v>54</v>
      </c>
      <c r="L258" t="s">
        <v>87</v>
      </c>
      <c r="M258" t="s">
        <v>56</v>
      </c>
      <c r="N258">
        <v>4</v>
      </c>
      <c r="O258" t="s">
        <v>64</v>
      </c>
      <c r="P258" t="s">
        <v>54</v>
      </c>
      <c r="Q258" s="9">
        <v>45825</v>
      </c>
      <c r="R258" t="s">
        <v>83</v>
      </c>
      <c r="S258">
        <v>4</v>
      </c>
      <c r="T258">
        <v>2</v>
      </c>
      <c r="U258">
        <v>2</v>
      </c>
      <c r="V258" t="s">
        <v>54</v>
      </c>
      <c r="W258">
        <v>2</v>
      </c>
      <c r="X258" t="s">
        <v>64</v>
      </c>
      <c r="Y258" t="s">
        <v>190</v>
      </c>
      <c r="Z258" t="s">
        <v>190</v>
      </c>
      <c r="AA258">
        <v>19.2</v>
      </c>
      <c r="AB258" t="s">
        <v>79</v>
      </c>
      <c r="AC258" t="s">
        <v>180</v>
      </c>
      <c r="AD258" t="s">
        <v>196</v>
      </c>
      <c r="AE258" t="s">
        <v>192</v>
      </c>
    </row>
    <row r="259" spans="1:31" x14ac:dyDescent="0.3">
      <c r="A259" t="s">
        <v>713</v>
      </c>
      <c r="B259" t="s">
        <v>714</v>
      </c>
      <c r="C259" t="s">
        <v>54</v>
      </c>
      <c r="D259" t="s">
        <v>158</v>
      </c>
      <c r="E259" t="s">
        <v>63</v>
      </c>
      <c r="F259" s="9">
        <v>45780</v>
      </c>
      <c r="G259" s="9">
        <v>45654</v>
      </c>
      <c r="H259" t="s">
        <v>70</v>
      </c>
      <c r="I259" t="s">
        <v>91</v>
      </c>
      <c r="J259" t="s">
        <v>94</v>
      </c>
      <c r="K259" t="s">
        <v>54</v>
      </c>
      <c r="L259" t="s">
        <v>87</v>
      </c>
      <c r="M259" t="s">
        <v>56</v>
      </c>
      <c r="N259">
        <v>6</v>
      </c>
      <c r="O259" t="s">
        <v>64</v>
      </c>
      <c r="P259" t="s">
        <v>54</v>
      </c>
      <c r="Q259" s="9">
        <v>45729</v>
      </c>
      <c r="R259" t="s">
        <v>75</v>
      </c>
      <c r="S259">
        <v>4</v>
      </c>
      <c r="T259">
        <v>3</v>
      </c>
      <c r="U259">
        <v>4</v>
      </c>
      <c r="V259" t="s">
        <v>54</v>
      </c>
      <c r="W259">
        <v>2</v>
      </c>
      <c r="X259" t="s">
        <v>64</v>
      </c>
      <c r="Y259" t="s">
        <v>190</v>
      </c>
      <c r="Z259" t="s">
        <v>195</v>
      </c>
      <c r="AA259">
        <v>18.899999999999999</v>
      </c>
      <c r="AB259" t="s">
        <v>71</v>
      </c>
      <c r="AC259" t="s">
        <v>181</v>
      </c>
      <c r="AD259" t="s">
        <v>191</v>
      </c>
      <c r="AE259" t="s">
        <v>192</v>
      </c>
    </row>
    <row r="260" spans="1:31" x14ac:dyDescent="0.3">
      <c r="A260" t="s">
        <v>715</v>
      </c>
      <c r="B260" t="s">
        <v>716</v>
      </c>
      <c r="C260" t="s">
        <v>54</v>
      </c>
      <c r="D260" t="s">
        <v>158</v>
      </c>
      <c r="E260" t="s">
        <v>63</v>
      </c>
      <c r="F260" s="9">
        <v>45877</v>
      </c>
      <c r="G260" s="9">
        <v>45790</v>
      </c>
      <c r="H260" t="s">
        <v>70</v>
      </c>
      <c r="I260" t="s">
        <v>95</v>
      </c>
      <c r="J260" t="s">
        <v>90</v>
      </c>
      <c r="K260" t="s">
        <v>54</v>
      </c>
      <c r="L260" t="s">
        <v>87</v>
      </c>
      <c r="M260" t="s">
        <v>66</v>
      </c>
      <c r="N260">
        <v>7</v>
      </c>
      <c r="O260" t="s">
        <v>64</v>
      </c>
      <c r="P260" t="s">
        <v>54</v>
      </c>
      <c r="Q260" s="9">
        <v>45851</v>
      </c>
      <c r="R260" t="s">
        <v>57</v>
      </c>
      <c r="S260">
        <v>4</v>
      </c>
      <c r="T260">
        <v>1</v>
      </c>
      <c r="U260">
        <v>3</v>
      </c>
      <c r="V260" t="s">
        <v>54</v>
      </c>
      <c r="W260">
        <v>5</v>
      </c>
      <c r="X260" t="s">
        <v>64</v>
      </c>
      <c r="Y260" t="s">
        <v>190</v>
      </c>
      <c r="Z260" t="s">
        <v>242</v>
      </c>
      <c r="AA260">
        <v>17.8</v>
      </c>
      <c r="AB260" t="s">
        <v>71</v>
      </c>
      <c r="AC260" t="s">
        <v>181</v>
      </c>
      <c r="AD260" t="s">
        <v>207</v>
      </c>
      <c r="AE260" t="s">
        <v>192</v>
      </c>
    </row>
    <row r="261" spans="1:31" x14ac:dyDescent="0.3">
      <c r="A261" t="s">
        <v>717</v>
      </c>
      <c r="B261" t="s">
        <v>718</v>
      </c>
      <c r="C261" t="s">
        <v>54</v>
      </c>
      <c r="D261" t="s">
        <v>158</v>
      </c>
      <c r="E261" t="s">
        <v>63</v>
      </c>
      <c r="F261" s="9">
        <v>45853</v>
      </c>
      <c r="G261" s="9">
        <v>45822</v>
      </c>
      <c r="H261" t="s">
        <v>70</v>
      </c>
      <c r="I261" t="s">
        <v>95</v>
      </c>
      <c r="J261" t="s">
        <v>85</v>
      </c>
      <c r="K261" t="s">
        <v>54</v>
      </c>
      <c r="L261" t="s">
        <v>73</v>
      </c>
      <c r="M261" t="s">
        <v>66</v>
      </c>
      <c r="N261">
        <v>3</v>
      </c>
      <c r="O261" t="s">
        <v>64</v>
      </c>
      <c r="P261" t="s">
        <v>54</v>
      </c>
      <c r="Q261" s="9">
        <v>45832</v>
      </c>
      <c r="R261" t="s">
        <v>75</v>
      </c>
      <c r="S261">
        <v>4</v>
      </c>
      <c r="T261">
        <v>4</v>
      </c>
      <c r="U261">
        <v>4</v>
      </c>
      <c r="V261" t="s">
        <v>64</v>
      </c>
      <c r="W261">
        <v>4</v>
      </c>
      <c r="X261" t="s">
        <v>64</v>
      </c>
      <c r="Y261" t="s">
        <v>190</v>
      </c>
      <c r="Z261" t="s">
        <v>190</v>
      </c>
      <c r="AA261">
        <v>20.100000000000001</v>
      </c>
      <c r="AB261" t="s">
        <v>71</v>
      </c>
      <c r="AC261" t="s">
        <v>181</v>
      </c>
      <c r="AD261" t="s">
        <v>191</v>
      </c>
      <c r="AE261" t="s">
        <v>192</v>
      </c>
    </row>
    <row r="262" spans="1:31" x14ac:dyDescent="0.3">
      <c r="A262" t="s">
        <v>719</v>
      </c>
      <c r="B262" t="s">
        <v>720</v>
      </c>
      <c r="C262" t="s">
        <v>54</v>
      </c>
      <c r="D262" t="s">
        <v>158</v>
      </c>
      <c r="E262" t="s">
        <v>63</v>
      </c>
      <c r="F262" s="9">
        <v>45838</v>
      </c>
      <c r="G262" s="9">
        <v>45698</v>
      </c>
      <c r="H262" t="s">
        <v>70</v>
      </c>
      <c r="I262" t="s">
        <v>91</v>
      </c>
      <c r="J262" t="s">
        <v>85</v>
      </c>
      <c r="K262" t="s">
        <v>54</v>
      </c>
      <c r="L262" t="s">
        <v>55</v>
      </c>
      <c r="M262" t="s">
        <v>56</v>
      </c>
      <c r="N262">
        <v>5</v>
      </c>
      <c r="O262" t="s">
        <v>64</v>
      </c>
      <c r="P262" t="s">
        <v>54</v>
      </c>
      <c r="Q262" s="9">
        <v>45805</v>
      </c>
      <c r="R262" t="s">
        <v>67</v>
      </c>
      <c r="S262">
        <v>4</v>
      </c>
      <c r="T262">
        <v>4</v>
      </c>
      <c r="U262">
        <v>5</v>
      </c>
      <c r="V262" t="s">
        <v>64</v>
      </c>
      <c r="W262">
        <v>4</v>
      </c>
      <c r="X262" t="s">
        <v>64</v>
      </c>
      <c r="Y262" t="s">
        <v>190</v>
      </c>
      <c r="Z262" t="s">
        <v>534</v>
      </c>
      <c r="AA262">
        <v>19.2</v>
      </c>
      <c r="AB262" t="s">
        <v>71</v>
      </c>
      <c r="AC262" t="s">
        <v>181</v>
      </c>
      <c r="AD262" t="s">
        <v>201</v>
      </c>
      <c r="AE262" t="s">
        <v>192</v>
      </c>
    </row>
    <row r="263" spans="1:31" x14ac:dyDescent="0.3">
      <c r="A263" t="s">
        <v>721</v>
      </c>
      <c r="B263" t="s">
        <v>722</v>
      </c>
      <c r="C263" t="s">
        <v>54</v>
      </c>
      <c r="D263" t="s">
        <v>158</v>
      </c>
      <c r="E263" t="s">
        <v>53</v>
      </c>
      <c r="F263" s="9">
        <v>45786</v>
      </c>
      <c r="G263" s="9">
        <v>45750</v>
      </c>
      <c r="H263" t="s">
        <v>70</v>
      </c>
      <c r="I263" t="s">
        <v>93</v>
      </c>
      <c r="J263" t="s">
        <v>77</v>
      </c>
      <c r="K263" t="s">
        <v>54</v>
      </c>
      <c r="L263" t="s">
        <v>65</v>
      </c>
      <c r="M263" t="s">
        <v>56</v>
      </c>
      <c r="N263">
        <v>4</v>
      </c>
      <c r="O263" t="s">
        <v>64</v>
      </c>
      <c r="P263" t="s">
        <v>54</v>
      </c>
      <c r="Q263" s="9">
        <v>45775</v>
      </c>
      <c r="R263" t="s">
        <v>67</v>
      </c>
      <c r="S263">
        <v>4</v>
      </c>
      <c r="T263">
        <v>3</v>
      </c>
      <c r="U263">
        <v>4</v>
      </c>
      <c r="V263" t="s">
        <v>64</v>
      </c>
      <c r="W263">
        <v>1</v>
      </c>
      <c r="X263" t="s">
        <v>54</v>
      </c>
      <c r="Y263" t="s">
        <v>76</v>
      </c>
      <c r="Z263" t="s">
        <v>190</v>
      </c>
      <c r="AA263">
        <v>24.9</v>
      </c>
      <c r="AB263" t="s">
        <v>71</v>
      </c>
      <c r="AC263" t="s">
        <v>180</v>
      </c>
      <c r="AD263" t="s">
        <v>201</v>
      </c>
      <c r="AE263" t="s">
        <v>237</v>
      </c>
    </row>
    <row r="264" spans="1:31" x14ac:dyDescent="0.3">
      <c r="A264" t="s">
        <v>723</v>
      </c>
      <c r="B264" t="s">
        <v>724</v>
      </c>
      <c r="C264" t="s">
        <v>54</v>
      </c>
      <c r="D264" t="s">
        <v>158</v>
      </c>
      <c r="E264" t="s">
        <v>53</v>
      </c>
      <c r="F264" s="9">
        <v>45873</v>
      </c>
      <c r="G264" s="9">
        <v>45796</v>
      </c>
      <c r="H264" t="s">
        <v>60</v>
      </c>
      <c r="I264" t="s">
        <v>89</v>
      </c>
      <c r="J264" t="s">
        <v>85</v>
      </c>
      <c r="K264" t="s">
        <v>54</v>
      </c>
      <c r="L264" t="s">
        <v>65</v>
      </c>
      <c r="M264" t="s">
        <v>66</v>
      </c>
      <c r="N264">
        <v>4</v>
      </c>
      <c r="O264" t="s">
        <v>64</v>
      </c>
      <c r="P264" t="s">
        <v>54</v>
      </c>
      <c r="Q264" s="9">
        <v>45864</v>
      </c>
      <c r="R264" t="s">
        <v>67</v>
      </c>
      <c r="S264">
        <v>3</v>
      </c>
      <c r="T264">
        <v>3</v>
      </c>
      <c r="U264">
        <v>4</v>
      </c>
      <c r="V264" t="s">
        <v>54</v>
      </c>
      <c r="W264">
        <v>4</v>
      </c>
      <c r="X264" t="s">
        <v>64</v>
      </c>
      <c r="Y264" t="s">
        <v>190</v>
      </c>
      <c r="Z264" t="s">
        <v>190</v>
      </c>
      <c r="AA264">
        <v>16.899999999999999</v>
      </c>
      <c r="AB264" t="s">
        <v>61</v>
      </c>
      <c r="AC264" t="s">
        <v>180</v>
      </c>
      <c r="AD264" t="s">
        <v>201</v>
      </c>
      <c r="AE264" t="s">
        <v>192</v>
      </c>
    </row>
    <row r="265" spans="1:31" x14ac:dyDescent="0.3">
      <c r="A265" t="s">
        <v>725</v>
      </c>
      <c r="B265" t="s">
        <v>726</v>
      </c>
      <c r="C265" t="s">
        <v>54</v>
      </c>
      <c r="D265" t="s">
        <v>158</v>
      </c>
      <c r="E265" t="s">
        <v>63</v>
      </c>
      <c r="F265" s="9">
        <v>45847</v>
      </c>
      <c r="G265" s="9">
        <v>45803</v>
      </c>
      <c r="H265" t="s">
        <v>50</v>
      </c>
      <c r="I265" t="s">
        <v>52</v>
      </c>
      <c r="J265" t="s">
        <v>69</v>
      </c>
      <c r="K265" t="s">
        <v>54</v>
      </c>
      <c r="L265" t="s">
        <v>65</v>
      </c>
      <c r="M265" t="s">
        <v>66</v>
      </c>
      <c r="N265">
        <v>4</v>
      </c>
      <c r="O265" t="s">
        <v>54</v>
      </c>
      <c r="P265" t="s">
        <v>54</v>
      </c>
      <c r="Q265" s="9">
        <v>45823</v>
      </c>
      <c r="R265" t="s">
        <v>67</v>
      </c>
      <c r="S265">
        <v>4</v>
      </c>
      <c r="T265">
        <v>4</v>
      </c>
      <c r="U265">
        <v>4</v>
      </c>
      <c r="V265" t="s">
        <v>54</v>
      </c>
      <c r="W265">
        <v>4</v>
      </c>
      <c r="X265" t="s">
        <v>54</v>
      </c>
      <c r="Y265" t="s">
        <v>58</v>
      </c>
      <c r="Z265" t="s">
        <v>190</v>
      </c>
      <c r="AA265">
        <v>13.4</v>
      </c>
      <c r="AB265" t="s">
        <v>51</v>
      </c>
      <c r="AC265" t="s">
        <v>181</v>
      </c>
      <c r="AD265" t="s">
        <v>201</v>
      </c>
      <c r="AE265" t="s">
        <v>222</v>
      </c>
    </row>
    <row r="266" spans="1:31" x14ac:dyDescent="0.3">
      <c r="A266" t="s">
        <v>727</v>
      </c>
      <c r="B266" t="s">
        <v>728</v>
      </c>
      <c r="C266" t="s">
        <v>54</v>
      </c>
      <c r="D266" t="s">
        <v>158</v>
      </c>
      <c r="E266" t="s">
        <v>63</v>
      </c>
      <c r="F266" s="9">
        <v>45886</v>
      </c>
      <c r="G266" s="9">
        <v>45781</v>
      </c>
      <c r="H266" t="s">
        <v>50</v>
      </c>
      <c r="I266" t="s">
        <v>62</v>
      </c>
      <c r="J266" t="s">
        <v>69</v>
      </c>
      <c r="K266" t="s">
        <v>54</v>
      </c>
      <c r="L266" t="s">
        <v>65</v>
      </c>
      <c r="M266" t="s">
        <v>56</v>
      </c>
      <c r="N266">
        <v>6</v>
      </c>
      <c r="O266" t="s">
        <v>64</v>
      </c>
      <c r="P266" t="s">
        <v>54</v>
      </c>
      <c r="Q266" s="9">
        <v>45867</v>
      </c>
      <c r="R266" t="s">
        <v>57</v>
      </c>
      <c r="S266">
        <v>3</v>
      </c>
      <c r="T266">
        <v>1</v>
      </c>
      <c r="U266">
        <v>3</v>
      </c>
      <c r="V266" t="s">
        <v>54</v>
      </c>
      <c r="W266">
        <v>4</v>
      </c>
      <c r="X266" t="s">
        <v>64</v>
      </c>
      <c r="Y266" t="s">
        <v>190</v>
      </c>
      <c r="Z266" t="s">
        <v>190</v>
      </c>
      <c r="AA266">
        <v>21.4</v>
      </c>
      <c r="AB266" t="s">
        <v>51</v>
      </c>
      <c r="AC266" t="s">
        <v>181</v>
      </c>
      <c r="AD266" t="s">
        <v>207</v>
      </c>
      <c r="AE266" t="s">
        <v>192</v>
      </c>
    </row>
    <row r="267" spans="1:31" x14ac:dyDescent="0.3">
      <c r="A267" t="s">
        <v>729</v>
      </c>
      <c r="B267" t="s">
        <v>730</v>
      </c>
      <c r="C267" t="s">
        <v>54</v>
      </c>
      <c r="D267" t="s">
        <v>158</v>
      </c>
      <c r="E267" t="s">
        <v>63</v>
      </c>
      <c r="F267" s="9">
        <v>45854</v>
      </c>
      <c r="G267" s="9">
        <v>45778</v>
      </c>
      <c r="H267" t="s">
        <v>78</v>
      </c>
      <c r="I267" t="s">
        <v>98</v>
      </c>
      <c r="J267" t="s">
        <v>90</v>
      </c>
      <c r="K267" t="s">
        <v>54</v>
      </c>
      <c r="L267" t="s">
        <v>65</v>
      </c>
      <c r="M267" t="s">
        <v>56</v>
      </c>
      <c r="N267">
        <v>2</v>
      </c>
      <c r="O267" t="s">
        <v>64</v>
      </c>
      <c r="P267" t="s">
        <v>54</v>
      </c>
      <c r="Q267" s="9">
        <v>45833</v>
      </c>
      <c r="R267" t="s">
        <v>75</v>
      </c>
      <c r="S267">
        <v>2</v>
      </c>
      <c r="T267">
        <v>2</v>
      </c>
      <c r="U267">
        <v>4</v>
      </c>
      <c r="V267" t="s">
        <v>54</v>
      </c>
      <c r="W267">
        <v>4</v>
      </c>
      <c r="X267" t="s">
        <v>64</v>
      </c>
      <c r="Y267" t="s">
        <v>190</v>
      </c>
      <c r="Z267" t="s">
        <v>190</v>
      </c>
      <c r="AA267">
        <v>16.899999999999999</v>
      </c>
      <c r="AB267" t="s">
        <v>79</v>
      </c>
      <c r="AC267" t="s">
        <v>181</v>
      </c>
      <c r="AD267" t="s">
        <v>191</v>
      </c>
      <c r="AE267" t="s">
        <v>192</v>
      </c>
    </row>
    <row r="268" spans="1:31" x14ac:dyDescent="0.3">
      <c r="A268" t="s">
        <v>731</v>
      </c>
      <c r="B268" t="s">
        <v>732</v>
      </c>
      <c r="C268" t="s">
        <v>54</v>
      </c>
      <c r="D268" t="s">
        <v>158</v>
      </c>
      <c r="E268" t="s">
        <v>53</v>
      </c>
      <c r="F268" s="9">
        <v>45828</v>
      </c>
      <c r="G268" s="9">
        <v>45704</v>
      </c>
      <c r="H268" t="s">
        <v>70</v>
      </c>
      <c r="I268" t="s">
        <v>93</v>
      </c>
      <c r="J268" t="s">
        <v>92</v>
      </c>
      <c r="K268" t="s">
        <v>54</v>
      </c>
      <c r="L268" t="s">
        <v>65</v>
      </c>
      <c r="M268" t="s">
        <v>66</v>
      </c>
      <c r="N268">
        <v>4</v>
      </c>
      <c r="O268" t="s">
        <v>64</v>
      </c>
      <c r="P268" t="s">
        <v>54</v>
      </c>
      <c r="Q268" s="9">
        <v>45727</v>
      </c>
      <c r="R268" t="s">
        <v>57</v>
      </c>
      <c r="S268">
        <v>1</v>
      </c>
      <c r="T268">
        <v>4</v>
      </c>
      <c r="U268">
        <v>5</v>
      </c>
      <c r="V268" t="s">
        <v>54</v>
      </c>
      <c r="W268">
        <v>4</v>
      </c>
      <c r="X268" t="s">
        <v>64</v>
      </c>
      <c r="Y268" t="s">
        <v>190</v>
      </c>
      <c r="Z268" t="s">
        <v>190</v>
      </c>
      <c r="AA268">
        <v>20.399999999999999</v>
      </c>
      <c r="AB268" t="s">
        <v>71</v>
      </c>
      <c r="AC268" t="s">
        <v>180</v>
      </c>
      <c r="AD268" t="s">
        <v>207</v>
      </c>
      <c r="AE268" t="s">
        <v>192</v>
      </c>
    </row>
    <row r="269" spans="1:31" x14ac:dyDescent="0.3">
      <c r="A269" t="s">
        <v>733</v>
      </c>
      <c r="B269" t="s">
        <v>734</v>
      </c>
      <c r="C269" t="s">
        <v>54</v>
      </c>
      <c r="D269" t="s">
        <v>158</v>
      </c>
      <c r="E269" t="s">
        <v>63</v>
      </c>
      <c r="F269" s="9">
        <v>45925</v>
      </c>
      <c r="G269" s="9">
        <v>45801</v>
      </c>
      <c r="H269" t="s">
        <v>70</v>
      </c>
      <c r="I269" t="s">
        <v>95</v>
      </c>
      <c r="J269" t="s">
        <v>77</v>
      </c>
      <c r="K269" t="s">
        <v>54</v>
      </c>
      <c r="L269" t="s">
        <v>81</v>
      </c>
      <c r="M269" t="s">
        <v>56</v>
      </c>
      <c r="N269">
        <v>5</v>
      </c>
      <c r="O269" t="s">
        <v>64</v>
      </c>
      <c r="P269" t="s">
        <v>54</v>
      </c>
      <c r="Q269" s="9">
        <v>45804</v>
      </c>
      <c r="R269" t="s">
        <v>67</v>
      </c>
      <c r="S269">
        <v>5</v>
      </c>
      <c r="T269">
        <v>3</v>
      </c>
      <c r="U269">
        <v>5</v>
      </c>
      <c r="V269" t="s">
        <v>54</v>
      </c>
      <c r="W269">
        <v>4</v>
      </c>
      <c r="X269" t="s">
        <v>64</v>
      </c>
      <c r="Y269" t="s">
        <v>190</v>
      </c>
      <c r="Z269" t="s">
        <v>195</v>
      </c>
      <c r="AA269">
        <v>15.6</v>
      </c>
      <c r="AB269" t="s">
        <v>71</v>
      </c>
      <c r="AC269" t="s">
        <v>181</v>
      </c>
      <c r="AD269" t="s">
        <v>201</v>
      </c>
      <c r="AE269" t="s">
        <v>192</v>
      </c>
    </row>
    <row r="270" spans="1:31" x14ac:dyDescent="0.3">
      <c r="A270" t="s">
        <v>735</v>
      </c>
      <c r="B270" t="s">
        <v>736</v>
      </c>
      <c r="C270" t="s">
        <v>54</v>
      </c>
      <c r="D270" t="s">
        <v>158</v>
      </c>
      <c r="E270" t="s">
        <v>63</v>
      </c>
      <c r="F270" s="9">
        <v>45920</v>
      </c>
      <c r="G270" s="9">
        <v>45820</v>
      </c>
      <c r="H270" t="s">
        <v>70</v>
      </c>
      <c r="I270" t="s">
        <v>93</v>
      </c>
      <c r="J270" t="s">
        <v>90</v>
      </c>
      <c r="K270" t="s">
        <v>54</v>
      </c>
      <c r="L270" t="s">
        <v>737</v>
      </c>
      <c r="M270" t="s">
        <v>66</v>
      </c>
      <c r="N270">
        <v>7</v>
      </c>
      <c r="O270" t="s">
        <v>64</v>
      </c>
      <c r="P270" t="s">
        <v>54</v>
      </c>
      <c r="Q270" s="9">
        <v>45853</v>
      </c>
      <c r="R270" t="s">
        <v>67</v>
      </c>
      <c r="S270">
        <v>4</v>
      </c>
      <c r="T270">
        <v>3</v>
      </c>
      <c r="U270">
        <v>3</v>
      </c>
      <c r="V270" t="s">
        <v>64</v>
      </c>
      <c r="W270">
        <v>2</v>
      </c>
      <c r="X270" t="s">
        <v>64</v>
      </c>
      <c r="Y270" t="s">
        <v>190</v>
      </c>
      <c r="Z270" t="s">
        <v>190</v>
      </c>
      <c r="AA270">
        <v>11.2</v>
      </c>
      <c r="AB270" t="s">
        <v>71</v>
      </c>
      <c r="AC270" t="s">
        <v>181</v>
      </c>
      <c r="AD270" t="s">
        <v>201</v>
      </c>
      <c r="AE270" t="s">
        <v>192</v>
      </c>
    </row>
    <row r="271" spans="1:31" x14ac:dyDescent="0.3">
      <c r="A271" t="s">
        <v>738</v>
      </c>
      <c r="B271" t="s">
        <v>739</v>
      </c>
      <c r="C271" t="s">
        <v>54</v>
      </c>
      <c r="D271" t="s">
        <v>158</v>
      </c>
      <c r="E271" t="s">
        <v>53</v>
      </c>
      <c r="F271" s="9">
        <v>45790</v>
      </c>
      <c r="G271" s="9">
        <v>45654</v>
      </c>
      <c r="H271" t="s">
        <v>78</v>
      </c>
      <c r="I271" t="s">
        <v>98</v>
      </c>
      <c r="J271" t="s">
        <v>69</v>
      </c>
      <c r="K271" t="s">
        <v>54</v>
      </c>
      <c r="L271" t="s">
        <v>65</v>
      </c>
      <c r="M271" t="s">
        <v>66</v>
      </c>
      <c r="N271">
        <v>4</v>
      </c>
      <c r="O271" t="s">
        <v>54</v>
      </c>
      <c r="P271" t="s">
        <v>54</v>
      </c>
      <c r="Q271" s="9">
        <v>45703</v>
      </c>
      <c r="R271" t="s">
        <v>67</v>
      </c>
      <c r="S271">
        <v>2</v>
      </c>
      <c r="T271">
        <v>2</v>
      </c>
      <c r="U271">
        <v>3</v>
      </c>
      <c r="V271" t="s">
        <v>54</v>
      </c>
      <c r="W271">
        <v>3</v>
      </c>
      <c r="X271" t="s">
        <v>64</v>
      </c>
      <c r="Y271" t="s">
        <v>190</v>
      </c>
      <c r="Z271" t="s">
        <v>190</v>
      </c>
      <c r="AA271">
        <v>15.7</v>
      </c>
      <c r="AB271" t="s">
        <v>79</v>
      </c>
      <c r="AC271" t="s">
        <v>180</v>
      </c>
      <c r="AD271" t="s">
        <v>201</v>
      </c>
      <c r="AE271" t="s">
        <v>192</v>
      </c>
    </row>
    <row r="272" spans="1:31" x14ac:dyDescent="0.3">
      <c r="A272" t="s">
        <v>740</v>
      </c>
      <c r="B272" t="s">
        <v>741</v>
      </c>
      <c r="C272" t="s">
        <v>54</v>
      </c>
      <c r="D272" t="s">
        <v>158</v>
      </c>
      <c r="E272" t="s">
        <v>53</v>
      </c>
      <c r="F272" s="9">
        <v>45911</v>
      </c>
      <c r="G272" s="9">
        <v>45840</v>
      </c>
      <c r="H272" t="s">
        <v>78</v>
      </c>
      <c r="I272" t="s">
        <v>96</v>
      </c>
      <c r="J272" t="s">
        <v>77</v>
      </c>
      <c r="K272" t="s">
        <v>54</v>
      </c>
      <c r="L272" t="s">
        <v>73</v>
      </c>
      <c r="M272" t="s">
        <v>56</v>
      </c>
      <c r="N272">
        <v>7</v>
      </c>
      <c r="O272" t="s">
        <v>64</v>
      </c>
      <c r="P272" t="s">
        <v>54</v>
      </c>
      <c r="Q272" s="9">
        <v>45900</v>
      </c>
      <c r="R272" t="s">
        <v>75</v>
      </c>
      <c r="S272">
        <v>1</v>
      </c>
      <c r="T272">
        <v>3</v>
      </c>
      <c r="U272">
        <v>4</v>
      </c>
      <c r="V272" t="s">
        <v>54</v>
      </c>
      <c r="W272">
        <v>3</v>
      </c>
      <c r="X272" t="s">
        <v>54</v>
      </c>
      <c r="Y272" t="s">
        <v>58</v>
      </c>
      <c r="Z272" t="s">
        <v>322</v>
      </c>
      <c r="AA272">
        <v>14.4</v>
      </c>
      <c r="AB272" t="s">
        <v>79</v>
      </c>
      <c r="AC272" t="s">
        <v>180</v>
      </c>
      <c r="AD272" t="s">
        <v>191</v>
      </c>
      <c r="AE272" t="s">
        <v>222</v>
      </c>
    </row>
    <row r="273" spans="1:31" x14ac:dyDescent="0.3">
      <c r="A273" t="s">
        <v>742</v>
      </c>
      <c r="B273" t="s">
        <v>743</v>
      </c>
      <c r="C273" t="s">
        <v>54</v>
      </c>
      <c r="D273" t="s">
        <v>158</v>
      </c>
      <c r="E273" t="s">
        <v>63</v>
      </c>
      <c r="F273" s="9">
        <v>45897</v>
      </c>
      <c r="G273" s="9">
        <v>45851</v>
      </c>
      <c r="H273" t="s">
        <v>60</v>
      </c>
      <c r="I273" t="s">
        <v>89</v>
      </c>
      <c r="J273" t="s">
        <v>94</v>
      </c>
      <c r="K273" t="s">
        <v>54</v>
      </c>
      <c r="L273" t="s">
        <v>81</v>
      </c>
      <c r="M273" t="s">
        <v>56</v>
      </c>
      <c r="N273">
        <v>5</v>
      </c>
      <c r="O273" t="s">
        <v>64</v>
      </c>
      <c r="P273" t="s">
        <v>64</v>
      </c>
      <c r="Q273" s="9"/>
      <c r="R273" t="s">
        <v>190</v>
      </c>
      <c r="V273" t="s">
        <v>190</v>
      </c>
      <c r="W273">
        <v>3</v>
      </c>
      <c r="X273" t="s">
        <v>64</v>
      </c>
      <c r="Y273" t="s">
        <v>190</v>
      </c>
      <c r="Z273" t="s">
        <v>190</v>
      </c>
      <c r="AA273">
        <v>20.6</v>
      </c>
      <c r="AB273" t="s">
        <v>61</v>
      </c>
      <c r="AC273" t="s">
        <v>181</v>
      </c>
      <c r="AD273" t="s">
        <v>192</v>
      </c>
      <c r="AE273" t="s">
        <v>192</v>
      </c>
    </row>
    <row r="274" spans="1:31" x14ac:dyDescent="0.3">
      <c r="A274" t="s">
        <v>744</v>
      </c>
      <c r="B274" t="s">
        <v>745</v>
      </c>
      <c r="C274" t="s">
        <v>54</v>
      </c>
      <c r="D274" t="s">
        <v>158</v>
      </c>
      <c r="E274" t="s">
        <v>63</v>
      </c>
      <c r="F274" s="9">
        <v>45788</v>
      </c>
      <c r="G274" s="9">
        <v>45686</v>
      </c>
      <c r="H274" t="s">
        <v>50</v>
      </c>
      <c r="I274" t="s">
        <v>746</v>
      </c>
      <c r="J274" t="s">
        <v>77</v>
      </c>
      <c r="K274" t="s">
        <v>54</v>
      </c>
      <c r="L274" t="s">
        <v>73</v>
      </c>
      <c r="M274" t="s">
        <v>56</v>
      </c>
      <c r="N274">
        <v>8</v>
      </c>
      <c r="O274" t="s">
        <v>64</v>
      </c>
      <c r="P274" t="s">
        <v>54</v>
      </c>
      <c r="Q274" s="9">
        <v>45710</v>
      </c>
      <c r="R274" t="s">
        <v>75</v>
      </c>
      <c r="S274">
        <v>4</v>
      </c>
      <c r="T274">
        <v>4</v>
      </c>
      <c r="U274">
        <v>5</v>
      </c>
      <c r="V274" t="s">
        <v>64</v>
      </c>
      <c r="W274">
        <v>4</v>
      </c>
      <c r="X274" t="s">
        <v>54</v>
      </c>
      <c r="Y274" t="s">
        <v>76</v>
      </c>
      <c r="Z274" t="s">
        <v>190</v>
      </c>
      <c r="AA274">
        <v>13.5</v>
      </c>
      <c r="AB274" t="s">
        <v>51</v>
      </c>
      <c r="AC274" t="s">
        <v>181</v>
      </c>
      <c r="AD274" t="s">
        <v>191</v>
      </c>
      <c r="AE274" t="s">
        <v>237</v>
      </c>
    </row>
    <row r="275" spans="1:31" x14ac:dyDescent="0.3">
      <c r="A275" t="s">
        <v>747</v>
      </c>
      <c r="B275" t="s">
        <v>748</v>
      </c>
      <c r="C275" t="s">
        <v>54</v>
      </c>
      <c r="D275" t="s">
        <v>158</v>
      </c>
      <c r="E275" t="s">
        <v>63</v>
      </c>
      <c r="F275" s="9">
        <v>45755</v>
      </c>
      <c r="G275" s="9">
        <v>45606</v>
      </c>
      <c r="H275" t="s">
        <v>50</v>
      </c>
      <c r="I275" t="s">
        <v>52</v>
      </c>
      <c r="J275" t="s">
        <v>77</v>
      </c>
      <c r="K275" t="s">
        <v>54</v>
      </c>
      <c r="L275" t="s">
        <v>81</v>
      </c>
      <c r="M275" t="s">
        <v>56</v>
      </c>
      <c r="N275">
        <v>2</v>
      </c>
      <c r="O275" t="s">
        <v>64</v>
      </c>
      <c r="P275" t="s">
        <v>54</v>
      </c>
      <c r="Q275" s="9">
        <v>45724</v>
      </c>
      <c r="R275" t="s">
        <v>83</v>
      </c>
      <c r="S275">
        <v>5</v>
      </c>
      <c r="T275">
        <v>3</v>
      </c>
      <c r="U275">
        <v>4</v>
      </c>
      <c r="V275" t="s">
        <v>64</v>
      </c>
      <c r="W275">
        <v>4</v>
      </c>
      <c r="X275" t="s">
        <v>64</v>
      </c>
      <c r="Y275" t="s">
        <v>190</v>
      </c>
      <c r="Z275" t="s">
        <v>322</v>
      </c>
      <c r="AA275">
        <v>10.3</v>
      </c>
      <c r="AB275" t="s">
        <v>51</v>
      </c>
      <c r="AC275" t="s">
        <v>181</v>
      </c>
      <c r="AD275" t="s">
        <v>196</v>
      </c>
      <c r="AE275" t="s">
        <v>192</v>
      </c>
    </row>
    <row r="276" spans="1:31" x14ac:dyDescent="0.3">
      <c r="A276" t="s">
        <v>749</v>
      </c>
      <c r="B276" t="s">
        <v>750</v>
      </c>
      <c r="C276" t="s">
        <v>54</v>
      </c>
      <c r="D276" t="s">
        <v>158</v>
      </c>
      <c r="E276" t="s">
        <v>63</v>
      </c>
      <c r="F276" s="9">
        <v>45794</v>
      </c>
      <c r="G276" s="9">
        <v>45666</v>
      </c>
      <c r="H276" t="s">
        <v>70</v>
      </c>
      <c r="I276" t="s">
        <v>93</v>
      </c>
      <c r="J276" t="s">
        <v>92</v>
      </c>
      <c r="K276" t="s">
        <v>54</v>
      </c>
      <c r="L276" t="s">
        <v>73</v>
      </c>
      <c r="M276" t="s">
        <v>56</v>
      </c>
      <c r="N276">
        <v>5</v>
      </c>
      <c r="O276" t="s">
        <v>64</v>
      </c>
      <c r="P276" t="s">
        <v>54</v>
      </c>
      <c r="Q276" s="9">
        <v>45791</v>
      </c>
      <c r="R276" t="s">
        <v>75</v>
      </c>
      <c r="S276">
        <v>4</v>
      </c>
      <c r="T276">
        <v>1</v>
      </c>
      <c r="U276">
        <v>3</v>
      </c>
      <c r="V276" t="s">
        <v>54</v>
      </c>
      <c r="W276">
        <v>1</v>
      </c>
      <c r="X276" t="s">
        <v>64</v>
      </c>
      <c r="Y276" t="s">
        <v>190</v>
      </c>
      <c r="Z276" t="s">
        <v>190</v>
      </c>
      <c r="AA276">
        <v>24.5</v>
      </c>
      <c r="AB276" t="s">
        <v>71</v>
      </c>
      <c r="AC276" t="s">
        <v>181</v>
      </c>
      <c r="AD276" t="s">
        <v>191</v>
      </c>
      <c r="AE276" t="s">
        <v>192</v>
      </c>
    </row>
    <row r="277" spans="1:31" x14ac:dyDescent="0.3">
      <c r="A277" t="s">
        <v>751</v>
      </c>
      <c r="B277" t="s">
        <v>752</v>
      </c>
      <c r="C277" t="s">
        <v>54</v>
      </c>
      <c r="D277" t="s">
        <v>158</v>
      </c>
      <c r="E277" t="s">
        <v>53</v>
      </c>
      <c r="F277" s="9">
        <v>45864</v>
      </c>
      <c r="G277" s="9">
        <v>45748</v>
      </c>
      <c r="H277" t="s">
        <v>60</v>
      </c>
      <c r="I277" t="s">
        <v>89</v>
      </c>
      <c r="J277" t="s">
        <v>59</v>
      </c>
      <c r="K277" t="s">
        <v>54</v>
      </c>
      <c r="L277" t="s">
        <v>81</v>
      </c>
      <c r="M277" t="s">
        <v>56</v>
      </c>
      <c r="N277">
        <v>4</v>
      </c>
      <c r="O277" t="s">
        <v>64</v>
      </c>
      <c r="P277" t="s">
        <v>54</v>
      </c>
      <c r="Q277" s="9">
        <v>45820</v>
      </c>
      <c r="R277" t="s">
        <v>67</v>
      </c>
      <c r="S277">
        <v>4</v>
      </c>
      <c r="T277">
        <v>1</v>
      </c>
      <c r="U277">
        <v>2</v>
      </c>
      <c r="V277" t="s">
        <v>64</v>
      </c>
      <c r="W277">
        <v>4</v>
      </c>
      <c r="X277" t="s">
        <v>54</v>
      </c>
      <c r="Y277" t="s">
        <v>58</v>
      </c>
      <c r="Z277" t="s">
        <v>190</v>
      </c>
      <c r="AA277">
        <v>16.899999999999999</v>
      </c>
      <c r="AB277" t="s">
        <v>61</v>
      </c>
      <c r="AC277" t="s">
        <v>180</v>
      </c>
      <c r="AD277" t="s">
        <v>201</v>
      </c>
      <c r="AE277" t="s">
        <v>222</v>
      </c>
    </row>
    <row r="278" spans="1:31" x14ac:dyDescent="0.3">
      <c r="A278" t="s">
        <v>753</v>
      </c>
      <c r="B278" t="s">
        <v>754</v>
      </c>
      <c r="C278" t="s">
        <v>54</v>
      </c>
      <c r="D278" t="s">
        <v>158</v>
      </c>
      <c r="E278" t="s">
        <v>53</v>
      </c>
      <c r="F278" s="9">
        <v>45784</v>
      </c>
      <c r="G278" s="9">
        <v>45734</v>
      </c>
      <c r="H278" t="s">
        <v>70</v>
      </c>
      <c r="I278" t="s">
        <v>95</v>
      </c>
      <c r="J278" t="s">
        <v>69</v>
      </c>
      <c r="K278" t="s">
        <v>54</v>
      </c>
      <c r="L278" t="s">
        <v>73</v>
      </c>
      <c r="M278" t="s">
        <v>56</v>
      </c>
      <c r="N278">
        <v>5</v>
      </c>
      <c r="O278" t="s">
        <v>64</v>
      </c>
      <c r="P278" t="s">
        <v>54</v>
      </c>
      <c r="Q278" s="9">
        <v>45745</v>
      </c>
      <c r="R278" t="s">
        <v>67</v>
      </c>
      <c r="S278">
        <v>4</v>
      </c>
      <c r="T278">
        <v>2</v>
      </c>
      <c r="U278">
        <v>2</v>
      </c>
      <c r="V278" t="s">
        <v>54</v>
      </c>
      <c r="W278">
        <v>4</v>
      </c>
      <c r="X278" t="s">
        <v>64</v>
      </c>
      <c r="Y278" t="s">
        <v>190</v>
      </c>
      <c r="Z278" t="s">
        <v>190</v>
      </c>
      <c r="AA278">
        <v>20.3</v>
      </c>
      <c r="AB278" t="s">
        <v>71</v>
      </c>
      <c r="AC278" t="s">
        <v>180</v>
      </c>
      <c r="AD278" t="s">
        <v>201</v>
      </c>
      <c r="AE278" t="s">
        <v>192</v>
      </c>
    </row>
    <row r="279" spans="1:31" x14ac:dyDescent="0.3">
      <c r="A279" t="s">
        <v>755</v>
      </c>
      <c r="B279" t="s">
        <v>756</v>
      </c>
      <c r="C279" t="s">
        <v>54</v>
      </c>
      <c r="D279" t="s">
        <v>158</v>
      </c>
      <c r="E279" t="s">
        <v>53</v>
      </c>
      <c r="F279" s="9">
        <v>45835</v>
      </c>
      <c r="G279" s="9">
        <v>45784</v>
      </c>
      <c r="H279" t="s">
        <v>60</v>
      </c>
      <c r="I279" t="s">
        <v>80</v>
      </c>
      <c r="J279" t="s">
        <v>77</v>
      </c>
      <c r="K279" t="s">
        <v>54</v>
      </c>
      <c r="L279" t="s">
        <v>73</v>
      </c>
      <c r="M279" t="s">
        <v>56</v>
      </c>
      <c r="N279">
        <v>9</v>
      </c>
      <c r="O279" t="s">
        <v>64</v>
      </c>
      <c r="P279" t="s">
        <v>64</v>
      </c>
      <c r="Q279" s="9"/>
      <c r="R279" t="s">
        <v>190</v>
      </c>
      <c r="V279" t="s">
        <v>190</v>
      </c>
      <c r="W279">
        <v>3</v>
      </c>
      <c r="X279" t="s">
        <v>64</v>
      </c>
      <c r="Y279" t="s">
        <v>190</v>
      </c>
      <c r="Z279" t="s">
        <v>190</v>
      </c>
      <c r="AA279">
        <v>7.8</v>
      </c>
      <c r="AB279" t="s">
        <v>61</v>
      </c>
      <c r="AC279" t="s">
        <v>180</v>
      </c>
      <c r="AD279" t="s">
        <v>192</v>
      </c>
      <c r="AE279" t="s">
        <v>192</v>
      </c>
    </row>
    <row r="280" spans="1:31" x14ac:dyDescent="0.3">
      <c r="A280" t="s">
        <v>757</v>
      </c>
      <c r="B280" t="s">
        <v>758</v>
      </c>
      <c r="C280" t="s">
        <v>54</v>
      </c>
      <c r="D280" t="s">
        <v>158</v>
      </c>
      <c r="E280" t="s">
        <v>63</v>
      </c>
      <c r="F280" s="9">
        <v>45759</v>
      </c>
      <c r="G280" s="9">
        <v>45696</v>
      </c>
      <c r="H280" t="s">
        <v>78</v>
      </c>
      <c r="I280" t="s">
        <v>96</v>
      </c>
      <c r="J280" t="s">
        <v>94</v>
      </c>
      <c r="K280" t="s">
        <v>54</v>
      </c>
      <c r="L280" t="s">
        <v>81</v>
      </c>
      <c r="M280" t="s">
        <v>66</v>
      </c>
      <c r="N280">
        <v>4</v>
      </c>
      <c r="O280" t="s">
        <v>54</v>
      </c>
      <c r="P280" t="s">
        <v>54</v>
      </c>
      <c r="Q280" s="9">
        <v>45733</v>
      </c>
      <c r="R280" t="s">
        <v>57</v>
      </c>
      <c r="S280">
        <v>4</v>
      </c>
      <c r="T280">
        <v>2</v>
      </c>
      <c r="U280">
        <v>3</v>
      </c>
      <c r="V280" t="s">
        <v>64</v>
      </c>
      <c r="W280">
        <v>2</v>
      </c>
      <c r="X280" t="s">
        <v>64</v>
      </c>
      <c r="Y280" t="s">
        <v>76</v>
      </c>
      <c r="Z280" t="s">
        <v>327</v>
      </c>
      <c r="AA280">
        <v>19.7</v>
      </c>
      <c r="AB280" t="s">
        <v>79</v>
      </c>
      <c r="AC280" t="s">
        <v>181</v>
      </c>
      <c r="AD280" t="s">
        <v>207</v>
      </c>
      <c r="AE280" t="s">
        <v>237</v>
      </c>
    </row>
    <row r="281" spans="1:31" x14ac:dyDescent="0.3">
      <c r="A281" t="s">
        <v>759</v>
      </c>
      <c r="B281" t="s">
        <v>760</v>
      </c>
      <c r="C281" t="s">
        <v>54</v>
      </c>
      <c r="D281" t="s">
        <v>158</v>
      </c>
      <c r="E281" t="s">
        <v>53</v>
      </c>
      <c r="F281" s="9">
        <v>45815</v>
      </c>
      <c r="G281" s="9">
        <v>45674</v>
      </c>
      <c r="H281" t="s">
        <v>50</v>
      </c>
      <c r="I281" t="s">
        <v>52</v>
      </c>
      <c r="J281" t="s">
        <v>77</v>
      </c>
      <c r="K281" t="s">
        <v>54</v>
      </c>
      <c r="L281" t="s">
        <v>65</v>
      </c>
      <c r="M281" t="s">
        <v>66</v>
      </c>
      <c r="N281">
        <v>5</v>
      </c>
      <c r="O281" t="s">
        <v>64</v>
      </c>
      <c r="P281" t="s">
        <v>54</v>
      </c>
      <c r="Q281" s="9">
        <v>45718</v>
      </c>
      <c r="R281" t="s">
        <v>57</v>
      </c>
      <c r="S281">
        <v>2</v>
      </c>
      <c r="T281">
        <v>4</v>
      </c>
      <c r="U281">
        <v>4</v>
      </c>
      <c r="V281" t="s">
        <v>54</v>
      </c>
      <c r="W281">
        <v>5</v>
      </c>
      <c r="X281" t="s">
        <v>64</v>
      </c>
      <c r="Y281" t="s">
        <v>190</v>
      </c>
      <c r="Z281" t="s">
        <v>322</v>
      </c>
      <c r="AA281">
        <v>4</v>
      </c>
      <c r="AB281" t="s">
        <v>51</v>
      </c>
      <c r="AC281" t="s">
        <v>180</v>
      </c>
      <c r="AD281" t="s">
        <v>207</v>
      </c>
      <c r="AE281" t="s">
        <v>192</v>
      </c>
    </row>
    <row r="282" spans="1:31" x14ac:dyDescent="0.3">
      <c r="A282" t="s">
        <v>761</v>
      </c>
      <c r="B282" t="s">
        <v>762</v>
      </c>
      <c r="C282" t="s">
        <v>54</v>
      </c>
      <c r="D282" t="s">
        <v>158</v>
      </c>
      <c r="E282" t="s">
        <v>63</v>
      </c>
      <c r="F282" s="9">
        <v>45803</v>
      </c>
      <c r="G282" s="9">
        <v>45670</v>
      </c>
      <c r="H282" t="s">
        <v>70</v>
      </c>
      <c r="I282" t="s">
        <v>93</v>
      </c>
      <c r="J282" t="s">
        <v>85</v>
      </c>
      <c r="K282" t="s">
        <v>54</v>
      </c>
      <c r="L282" t="s">
        <v>81</v>
      </c>
      <c r="M282" t="s">
        <v>56</v>
      </c>
      <c r="N282">
        <v>7</v>
      </c>
      <c r="O282" t="s">
        <v>54</v>
      </c>
      <c r="P282" t="s">
        <v>54</v>
      </c>
      <c r="Q282" s="9">
        <v>45686</v>
      </c>
      <c r="R282" t="s">
        <v>75</v>
      </c>
      <c r="S282">
        <v>5</v>
      </c>
      <c r="T282">
        <v>1</v>
      </c>
      <c r="U282">
        <v>2</v>
      </c>
      <c r="V282" t="s">
        <v>54</v>
      </c>
      <c r="W282">
        <v>2</v>
      </c>
      <c r="X282" t="s">
        <v>64</v>
      </c>
      <c r="Y282" t="s">
        <v>190</v>
      </c>
      <c r="Z282" t="s">
        <v>190</v>
      </c>
      <c r="AA282">
        <v>15.5</v>
      </c>
      <c r="AB282" t="s">
        <v>71</v>
      </c>
      <c r="AC282" t="s">
        <v>181</v>
      </c>
      <c r="AD282" t="s">
        <v>191</v>
      </c>
      <c r="AE282" t="s">
        <v>192</v>
      </c>
    </row>
    <row r="283" spans="1:31" x14ac:dyDescent="0.3">
      <c r="A283" t="s">
        <v>763</v>
      </c>
      <c r="B283" t="s">
        <v>429</v>
      </c>
      <c r="C283" t="s">
        <v>54</v>
      </c>
      <c r="D283" t="s">
        <v>158</v>
      </c>
      <c r="E283" t="s">
        <v>63</v>
      </c>
      <c r="F283" s="9">
        <v>45916</v>
      </c>
      <c r="G283" s="9">
        <v>45791</v>
      </c>
      <c r="H283" t="s">
        <v>60</v>
      </c>
      <c r="I283" t="s">
        <v>80</v>
      </c>
      <c r="J283" t="s">
        <v>85</v>
      </c>
      <c r="K283" t="s">
        <v>54</v>
      </c>
      <c r="L283" t="s">
        <v>65</v>
      </c>
      <c r="M283" t="s">
        <v>66</v>
      </c>
      <c r="N283">
        <v>3</v>
      </c>
      <c r="O283" t="s">
        <v>64</v>
      </c>
      <c r="P283" t="s">
        <v>64</v>
      </c>
      <c r="Q283" s="9"/>
      <c r="R283" t="s">
        <v>190</v>
      </c>
      <c r="V283" t="s">
        <v>190</v>
      </c>
      <c r="W283">
        <v>3</v>
      </c>
      <c r="X283" t="s">
        <v>64</v>
      </c>
      <c r="Y283" t="s">
        <v>190</v>
      </c>
      <c r="Z283" t="s">
        <v>190</v>
      </c>
      <c r="AA283">
        <v>14.6</v>
      </c>
      <c r="AB283" t="s">
        <v>61</v>
      </c>
      <c r="AC283" t="s">
        <v>181</v>
      </c>
      <c r="AD283" t="s">
        <v>192</v>
      </c>
      <c r="AE283" t="s">
        <v>192</v>
      </c>
    </row>
    <row r="284" spans="1:31" x14ac:dyDescent="0.3">
      <c r="A284" t="s">
        <v>764</v>
      </c>
      <c r="B284" t="s">
        <v>765</v>
      </c>
      <c r="C284" t="s">
        <v>54</v>
      </c>
      <c r="D284" t="s">
        <v>158</v>
      </c>
      <c r="E284" t="s">
        <v>53</v>
      </c>
      <c r="F284" s="9">
        <v>45827</v>
      </c>
      <c r="G284" s="9">
        <v>45773</v>
      </c>
      <c r="H284" t="s">
        <v>60</v>
      </c>
      <c r="I284" t="s">
        <v>89</v>
      </c>
      <c r="J284" t="s">
        <v>90</v>
      </c>
      <c r="K284" t="s">
        <v>54</v>
      </c>
      <c r="L284" t="s">
        <v>73</v>
      </c>
      <c r="M284" t="s">
        <v>56</v>
      </c>
      <c r="N284">
        <v>8</v>
      </c>
      <c r="O284" t="s">
        <v>64</v>
      </c>
      <c r="P284" t="s">
        <v>64</v>
      </c>
      <c r="Q284" s="9"/>
      <c r="R284" t="s">
        <v>190</v>
      </c>
      <c r="V284" t="s">
        <v>190</v>
      </c>
      <c r="W284">
        <v>2</v>
      </c>
      <c r="X284" t="s">
        <v>64</v>
      </c>
      <c r="Y284" t="s">
        <v>190</v>
      </c>
      <c r="Z284" t="s">
        <v>190</v>
      </c>
      <c r="AA284">
        <v>22</v>
      </c>
      <c r="AB284" t="s">
        <v>61</v>
      </c>
      <c r="AC284" t="s">
        <v>180</v>
      </c>
      <c r="AD284" t="s">
        <v>192</v>
      </c>
      <c r="AE284" t="s">
        <v>192</v>
      </c>
    </row>
    <row r="285" spans="1:31" x14ac:dyDescent="0.3">
      <c r="A285" t="s">
        <v>766</v>
      </c>
      <c r="B285" t="s">
        <v>767</v>
      </c>
      <c r="C285" t="s">
        <v>54</v>
      </c>
      <c r="D285" t="s">
        <v>158</v>
      </c>
      <c r="E285" t="s">
        <v>63</v>
      </c>
      <c r="F285" s="9">
        <v>45793</v>
      </c>
      <c r="G285" s="9">
        <v>45650</v>
      </c>
      <c r="H285" t="s">
        <v>78</v>
      </c>
      <c r="I285" t="s">
        <v>96</v>
      </c>
      <c r="J285" t="s">
        <v>94</v>
      </c>
      <c r="K285" t="s">
        <v>54</v>
      </c>
      <c r="L285" t="s">
        <v>65</v>
      </c>
      <c r="M285" t="s">
        <v>66</v>
      </c>
      <c r="N285">
        <v>7</v>
      </c>
      <c r="O285" t="s">
        <v>64</v>
      </c>
      <c r="P285" t="s">
        <v>64</v>
      </c>
      <c r="Q285" s="9"/>
      <c r="R285" t="s">
        <v>190</v>
      </c>
      <c r="V285" t="s">
        <v>190</v>
      </c>
      <c r="W285">
        <v>3</v>
      </c>
      <c r="X285" t="s">
        <v>64</v>
      </c>
      <c r="Y285" t="s">
        <v>190</v>
      </c>
      <c r="Z285" t="s">
        <v>190</v>
      </c>
      <c r="AA285">
        <v>10.8</v>
      </c>
      <c r="AB285" t="s">
        <v>79</v>
      </c>
      <c r="AC285" t="s">
        <v>181</v>
      </c>
      <c r="AD285" t="s">
        <v>192</v>
      </c>
      <c r="AE285" t="s">
        <v>192</v>
      </c>
    </row>
    <row r="286" spans="1:31" x14ac:dyDescent="0.3">
      <c r="A286" t="s">
        <v>768</v>
      </c>
      <c r="B286" t="s">
        <v>769</v>
      </c>
      <c r="C286" t="s">
        <v>54</v>
      </c>
      <c r="D286" t="s">
        <v>158</v>
      </c>
      <c r="E286" t="s">
        <v>63</v>
      </c>
      <c r="F286" s="9">
        <v>45873</v>
      </c>
      <c r="G286" s="9">
        <v>45727</v>
      </c>
      <c r="H286" t="s">
        <v>50</v>
      </c>
      <c r="I286" t="s">
        <v>72</v>
      </c>
      <c r="J286" t="s">
        <v>59</v>
      </c>
      <c r="K286" t="s">
        <v>54</v>
      </c>
      <c r="L286" t="s">
        <v>55</v>
      </c>
      <c r="M286" t="s">
        <v>66</v>
      </c>
      <c r="N286">
        <v>3</v>
      </c>
      <c r="O286" t="s">
        <v>64</v>
      </c>
      <c r="P286" t="s">
        <v>64</v>
      </c>
      <c r="Q286" s="9"/>
      <c r="R286" t="s">
        <v>190</v>
      </c>
      <c r="V286" t="s">
        <v>190</v>
      </c>
      <c r="W286">
        <v>5</v>
      </c>
      <c r="X286" t="s">
        <v>64</v>
      </c>
      <c r="Y286" t="s">
        <v>190</v>
      </c>
      <c r="Z286" t="s">
        <v>190</v>
      </c>
      <c r="AA286">
        <v>13.2</v>
      </c>
      <c r="AB286" t="s">
        <v>51</v>
      </c>
      <c r="AC286" t="s">
        <v>181</v>
      </c>
      <c r="AD286" t="s">
        <v>192</v>
      </c>
      <c r="AE286" t="s">
        <v>192</v>
      </c>
    </row>
    <row r="287" spans="1:31" x14ac:dyDescent="0.3">
      <c r="A287" t="s">
        <v>770</v>
      </c>
      <c r="B287" t="s">
        <v>771</v>
      </c>
      <c r="C287" t="s">
        <v>54</v>
      </c>
      <c r="D287" t="s">
        <v>158</v>
      </c>
      <c r="E287" t="s">
        <v>63</v>
      </c>
      <c r="F287" s="9">
        <v>45782</v>
      </c>
      <c r="G287" s="9">
        <v>45697</v>
      </c>
      <c r="H287" t="s">
        <v>70</v>
      </c>
      <c r="I287" t="s">
        <v>91</v>
      </c>
      <c r="J287" t="s">
        <v>69</v>
      </c>
      <c r="K287" t="s">
        <v>54</v>
      </c>
      <c r="L287" t="s">
        <v>73</v>
      </c>
      <c r="M287" t="s">
        <v>56</v>
      </c>
      <c r="N287">
        <v>6</v>
      </c>
      <c r="O287" t="s">
        <v>64</v>
      </c>
      <c r="P287" t="s">
        <v>54</v>
      </c>
      <c r="Q287" s="9">
        <v>45745</v>
      </c>
      <c r="R287" t="s">
        <v>67</v>
      </c>
      <c r="S287">
        <v>5</v>
      </c>
      <c r="T287">
        <v>4</v>
      </c>
      <c r="U287">
        <v>5</v>
      </c>
      <c r="V287" t="s">
        <v>64</v>
      </c>
      <c r="W287">
        <v>5</v>
      </c>
      <c r="X287" t="s">
        <v>54</v>
      </c>
      <c r="Y287" t="s">
        <v>58</v>
      </c>
      <c r="Z287" t="s">
        <v>190</v>
      </c>
      <c r="AA287">
        <v>18.100000000000001</v>
      </c>
      <c r="AB287" t="s">
        <v>71</v>
      </c>
      <c r="AC287" t="s">
        <v>181</v>
      </c>
      <c r="AD287" t="s">
        <v>201</v>
      </c>
      <c r="AE287" t="s">
        <v>222</v>
      </c>
    </row>
    <row r="288" spans="1:31" x14ac:dyDescent="0.3">
      <c r="A288" t="s">
        <v>772</v>
      </c>
      <c r="B288" t="s">
        <v>558</v>
      </c>
      <c r="C288" t="s">
        <v>54</v>
      </c>
      <c r="D288" t="s">
        <v>158</v>
      </c>
      <c r="E288" t="s">
        <v>63</v>
      </c>
      <c r="F288" s="9">
        <v>45821</v>
      </c>
      <c r="G288" s="9">
        <v>45692</v>
      </c>
      <c r="H288" t="s">
        <v>60</v>
      </c>
      <c r="I288" t="s">
        <v>89</v>
      </c>
      <c r="J288" t="s">
        <v>85</v>
      </c>
      <c r="K288" t="s">
        <v>54</v>
      </c>
      <c r="L288" t="s">
        <v>55</v>
      </c>
      <c r="M288" t="s">
        <v>66</v>
      </c>
      <c r="N288">
        <v>1</v>
      </c>
      <c r="O288" t="s">
        <v>64</v>
      </c>
      <c r="P288" t="s">
        <v>54</v>
      </c>
      <c r="Q288" s="9">
        <v>45768</v>
      </c>
      <c r="R288" t="s">
        <v>75</v>
      </c>
      <c r="S288">
        <v>4</v>
      </c>
      <c r="T288">
        <v>3</v>
      </c>
      <c r="U288">
        <v>4</v>
      </c>
      <c r="V288" t="s">
        <v>54</v>
      </c>
      <c r="W288">
        <v>5</v>
      </c>
      <c r="X288" t="s">
        <v>64</v>
      </c>
      <c r="Y288" t="s">
        <v>190</v>
      </c>
      <c r="Z288" t="s">
        <v>190</v>
      </c>
      <c r="AA288">
        <v>14.4</v>
      </c>
      <c r="AB288" t="s">
        <v>61</v>
      </c>
      <c r="AC288" t="s">
        <v>181</v>
      </c>
      <c r="AD288" t="s">
        <v>191</v>
      </c>
      <c r="AE288" t="s">
        <v>192</v>
      </c>
    </row>
    <row r="289" spans="1:31" x14ac:dyDescent="0.3">
      <c r="A289" t="s">
        <v>773</v>
      </c>
      <c r="B289" t="s">
        <v>774</v>
      </c>
      <c r="C289" t="s">
        <v>54</v>
      </c>
      <c r="D289" t="s">
        <v>158</v>
      </c>
      <c r="E289" t="s">
        <v>53</v>
      </c>
      <c r="F289" s="9">
        <v>45884</v>
      </c>
      <c r="G289" s="9">
        <v>45820</v>
      </c>
      <c r="H289" t="s">
        <v>70</v>
      </c>
      <c r="I289" t="s">
        <v>95</v>
      </c>
      <c r="J289" t="s">
        <v>69</v>
      </c>
      <c r="K289" t="s">
        <v>54</v>
      </c>
      <c r="L289" t="s">
        <v>65</v>
      </c>
      <c r="M289" t="s">
        <v>56</v>
      </c>
      <c r="N289">
        <v>1</v>
      </c>
      <c r="O289" t="s">
        <v>64</v>
      </c>
      <c r="P289" t="s">
        <v>64</v>
      </c>
      <c r="Q289" s="9"/>
      <c r="R289" t="s">
        <v>190</v>
      </c>
      <c r="V289" t="s">
        <v>190</v>
      </c>
      <c r="W289">
        <v>4</v>
      </c>
      <c r="X289" t="s">
        <v>64</v>
      </c>
      <c r="Y289" t="s">
        <v>190</v>
      </c>
      <c r="Z289" t="s">
        <v>190</v>
      </c>
      <c r="AA289">
        <v>16</v>
      </c>
      <c r="AB289" t="s">
        <v>71</v>
      </c>
      <c r="AC289" t="s">
        <v>180</v>
      </c>
      <c r="AD289" t="s">
        <v>192</v>
      </c>
      <c r="AE289" t="s">
        <v>192</v>
      </c>
    </row>
    <row r="290" spans="1:31" x14ac:dyDescent="0.3">
      <c r="A290" t="s">
        <v>775</v>
      </c>
      <c r="B290" t="s">
        <v>776</v>
      </c>
      <c r="C290" t="s">
        <v>54</v>
      </c>
      <c r="D290" t="s">
        <v>158</v>
      </c>
      <c r="E290" t="s">
        <v>63</v>
      </c>
      <c r="F290" s="9">
        <v>45802</v>
      </c>
      <c r="G290" s="9">
        <v>45672</v>
      </c>
      <c r="H290" t="s">
        <v>60</v>
      </c>
      <c r="I290" t="s">
        <v>89</v>
      </c>
      <c r="J290" t="s">
        <v>85</v>
      </c>
      <c r="K290" t="s">
        <v>54</v>
      </c>
      <c r="L290" t="s">
        <v>81</v>
      </c>
      <c r="M290" t="s">
        <v>56</v>
      </c>
      <c r="N290">
        <v>4</v>
      </c>
      <c r="O290" t="s">
        <v>64</v>
      </c>
      <c r="P290" t="s">
        <v>54</v>
      </c>
      <c r="Q290" s="9">
        <v>45780</v>
      </c>
      <c r="R290" t="s">
        <v>67</v>
      </c>
      <c r="S290">
        <v>4</v>
      </c>
      <c r="T290">
        <v>1</v>
      </c>
      <c r="U290">
        <v>1</v>
      </c>
      <c r="V290" t="s">
        <v>64</v>
      </c>
      <c r="W290">
        <v>5</v>
      </c>
      <c r="X290" t="s">
        <v>64</v>
      </c>
      <c r="Y290" t="s">
        <v>190</v>
      </c>
      <c r="Z290" t="s">
        <v>190</v>
      </c>
      <c r="AA290">
        <v>16.7</v>
      </c>
      <c r="AB290" t="s">
        <v>61</v>
      </c>
      <c r="AC290" t="s">
        <v>181</v>
      </c>
      <c r="AD290" t="s">
        <v>201</v>
      </c>
      <c r="AE290" t="s">
        <v>192</v>
      </c>
    </row>
    <row r="291" spans="1:31" x14ac:dyDescent="0.3">
      <c r="A291" t="s">
        <v>777</v>
      </c>
      <c r="B291" t="s">
        <v>778</v>
      </c>
      <c r="C291" t="s">
        <v>54</v>
      </c>
      <c r="D291" t="s">
        <v>158</v>
      </c>
      <c r="E291" t="s">
        <v>53</v>
      </c>
      <c r="F291" s="9">
        <v>45907</v>
      </c>
      <c r="G291" s="9">
        <v>45767</v>
      </c>
      <c r="H291" t="s">
        <v>70</v>
      </c>
      <c r="I291" t="s">
        <v>93</v>
      </c>
      <c r="J291" t="s">
        <v>85</v>
      </c>
      <c r="K291" t="s">
        <v>54</v>
      </c>
      <c r="L291" t="s">
        <v>87</v>
      </c>
      <c r="M291" t="s">
        <v>66</v>
      </c>
      <c r="N291">
        <v>6</v>
      </c>
      <c r="O291" t="s">
        <v>64</v>
      </c>
      <c r="P291" t="s">
        <v>54</v>
      </c>
      <c r="Q291" s="9">
        <v>45869</v>
      </c>
      <c r="R291" t="s">
        <v>67</v>
      </c>
      <c r="S291">
        <v>5</v>
      </c>
      <c r="T291">
        <v>4</v>
      </c>
      <c r="U291">
        <v>4</v>
      </c>
      <c r="V291" t="s">
        <v>54</v>
      </c>
      <c r="W291">
        <v>4</v>
      </c>
      <c r="X291" t="s">
        <v>64</v>
      </c>
      <c r="Y291" t="s">
        <v>190</v>
      </c>
      <c r="Z291" t="s">
        <v>190</v>
      </c>
      <c r="AA291">
        <v>18.100000000000001</v>
      </c>
      <c r="AB291" t="s">
        <v>71</v>
      </c>
      <c r="AC291" t="s">
        <v>180</v>
      </c>
      <c r="AD291" t="s">
        <v>201</v>
      </c>
      <c r="AE291" t="s">
        <v>192</v>
      </c>
    </row>
    <row r="292" spans="1:31" x14ac:dyDescent="0.3">
      <c r="A292" t="s">
        <v>779</v>
      </c>
      <c r="B292" t="s">
        <v>780</v>
      </c>
      <c r="C292" t="s">
        <v>54</v>
      </c>
      <c r="D292" t="s">
        <v>158</v>
      </c>
      <c r="E292" t="s">
        <v>63</v>
      </c>
      <c r="F292" s="9">
        <v>45795</v>
      </c>
      <c r="G292" s="9">
        <v>45754</v>
      </c>
      <c r="H292" t="s">
        <v>78</v>
      </c>
      <c r="I292" t="s">
        <v>96</v>
      </c>
      <c r="J292" t="s">
        <v>92</v>
      </c>
      <c r="K292" t="s">
        <v>54</v>
      </c>
      <c r="L292" t="s">
        <v>81</v>
      </c>
      <c r="M292" t="s">
        <v>56</v>
      </c>
      <c r="N292">
        <v>6</v>
      </c>
      <c r="O292" t="s">
        <v>64</v>
      </c>
      <c r="P292" t="s">
        <v>54</v>
      </c>
      <c r="Q292" s="9">
        <v>45766</v>
      </c>
      <c r="R292" t="s">
        <v>57</v>
      </c>
      <c r="S292">
        <v>2</v>
      </c>
      <c r="T292">
        <v>2</v>
      </c>
      <c r="U292">
        <v>3</v>
      </c>
      <c r="V292" t="s">
        <v>54</v>
      </c>
      <c r="W292">
        <v>4</v>
      </c>
      <c r="X292" t="s">
        <v>64</v>
      </c>
      <c r="Y292" t="s">
        <v>190</v>
      </c>
      <c r="Z292" t="s">
        <v>322</v>
      </c>
      <c r="AA292">
        <v>17.7</v>
      </c>
      <c r="AB292" t="s">
        <v>79</v>
      </c>
      <c r="AC292" t="s">
        <v>181</v>
      </c>
      <c r="AD292" t="s">
        <v>207</v>
      </c>
      <c r="AE292" t="s">
        <v>192</v>
      </c>
    </row>
    <row r="293" spans="1:31" x14ac:dyDescent="0.3">
      <c r="A293" t="s">
        <v>781</v>
      </c>
      <c r="B293" t="s">
        <v>782</v>
      </c>
      <c r="C293" t="s">
        <v>54</v>
      </c>
      <c r="D293" t="s">
        <v>158</v>
      </c>
      <c r="E293" t="s">
        <v>63</v>
      </c>
      <c r="F293" s="9">
        <v>45806</v>
      </c>
      <c r="G293" s="9">
        <v>45680</v>
      </c>
      <c r="H293" t="s">
        <v>50</v>
      </c>
      <c r="I293" t="s">
        <v>62</v>
      </c>
      <c r="J293" t="s">
        <v>85</v>
      </c>
      <c r="K293" t="s">
        <v>54</v>
      </c>
      <c r="L293" t="s">
        <v>65</v>
      </c>
      <c r="M293" t="s">
        <v>56</v>
      </c>
      <c r="N293">
        <v>6</v>
      </c>
      <c r="O293" t="s">
        <v>64</v>
      </c>
      <c r="P293" t="s">
        <v>54</v>
      </c>
      <c r="Q293" s="9">
        <v>45773</v>
      </c>
      <c r="R293" t="s">
        <v>75</v>
      </c>
      <c r="S293">
        <v>4</v>
      </c>
      <c r="T293">
        <v>2</v>
      </c>
      <c r="U293">
        <v>4</v>
      </c>
      <c r="V293" t="s">
        <v>54</v>
      </c>
      <c r="W293">
        <v>4</v>
      </c>
      <c r="X293" t="s">
        <v>54</v>
      </c>
      <c r="Y293" t="s">
        <v>76</v>
      </c>
      <c r="Z293" t="s">
        <v>190</v>
      </c>
      <c r="AA293">
        <v>29.3</v>
      </c>
      <c r="AB293" t="s">
        <v>51</v>
      </c>
      <c r="AC293" t="s">
        <v>181</v>
      </c>
      <c r="AD293" t="s">
        <v>191</v>
      </c>
      <c r="AE293" t="s">
        <v>237</v>
      </c>
    </row>
    <row r="294" spans="1:31" x14ac:dyDescent="0.3">
      <c r="A294" t="s">
        <v>783</v>
      </c>
      <c r="B294" t="s">
        <v>784</v>
      </c>
      <c r="C294" t="s">
        <v>54</v>
      </c>
      <c r="D294" t="s">
        <v>158</v>
      </c>
      <c r="E294" t="s">
        <v>63</v>
      </c>
      <c r="F294" s="9">
        <v>45880</v>
      </c>
      <c r="G294" s="9">
        <v>45734</v>
      </c>
      <c r="H294" t="s">
        <v>78</v>
      </c>
      <c r="I294" t="s">
        <v>97</v>
      </c>
      <c r="J294" t="s">
        <v>85</v>
      </c>
      <c r="K294" t="s">
        <v>54</v>
      </c>
      <c r="L294" t="s">
        <v>81</v>
      </c>
      <c r="M294" t="s">
        <v>56</v>
      </c>
      <c r="N294">
        <v>7</v>
      </c>
      <c r="O294" t="s">
        <v>64</v>
      </c>
      <c r="P294" t="s">
        <v>54</v>
      </c>
      <c r="Q294" s="9">
        <v>45816</v>
      </c>
      <c r="R294" t="s">
        <v>83</v>
      </c>
      <c r="S294">
        <v>3</v>
      </c>
      <c r="T294">
        <v>3</v>
      </c>
      <c r="U294">
        <v>3</v>
      </c>
      <c r="V294" t="s">
        <v>64</v>
      </c>
      <c r="W294">
        <v>2</v>
      </c>
      <c r="X294" t="s">
        <v>54</v>
      </c>
      <c r="Y294" t="s">
        <v>76</v>
      </c>
      <c r="Z294" t="s">
        <v>534</v>
      </c>
      <c r="AA294">
        <v>5.6</v>
      </c>
      <c r="AB294" t="s">
        <v>79</v>
      </c>
      <c r="AC294" t="s">
        <v>181</v>
      </c>
      <c r="AD294" t="s">
        <v>196</v>
      </c>
      <c r="AE294" t="s">
        <v>237</v>
      </c>
    </row>
    <row r="295" spans="1:31" x14ac:dyDescent="0.3">
      <c r="A295" t="s">
        <v>785</v>
      </c>
      <c r="B295" t="s">
        <v>786</v>
      </c>
      <c r="C295" t="s">
        <v>54</v>
      </c>
      <c r="D295" t="s">
        <v>158</v>
      </c>
      <c r="E295" t="s">
        <v>53</v>
      </c>
      <c r="F295" s="9">
        <v>45772</v>
      </c>
      <c r="G295" s="9">
        <v>45639</v>
      </c>
      <c r="H295" t="s">
        <v>60</v>
      </c>
      <c r="I295" t="s">
        <v>80</v>
      </c>
      <c r="J295" t="s">
        <v>85</v>
      </c>
      <c r="K295" t="s">
        <v>54</v>
      </c>
      <c r="L295" t="s">
        <v>55</v>
      </c>
      <c r="M295" t="s">
        <v>56</v>
      </c>
      <c r="N295">
        <v>4</v>
      </c>
      <c r="O295" t="s">
        <v>64</v>
      </c>
      <c r="P295" t="s">
        <v>54</v>
      </c>
      <c r="Q295" s="9">
        <v>45643</v>
      </c>
      <c r="R295" t="s">
        <v>83</v>
      </c>
      <c r="S295">
        <v>4</v>
      </c>
      <c r="T295">
        <v>1</v>
      </c>
      <c r="U295">
        <v>1</v>
      </c>
      <c r="V295" t="s">
        <v>54</v>
      </c>
      <c r="W295">
        <v>4</v>
      </c>
      <c r="X295" t="s">
        <v>64</v>
      </c>
      <c r="Y295" t="s">
        <v>190</v>
      </c>
      <c r="Z295" t="s">
        <v>266</v>
      </c>
      <c r="AA295">
        <v>18.7</v>
      </c>
      <c r="AB295" t="s">
        <v>61</v>
      </c>
      <c r="AC295" t="s">
        <v>180</v>
      </c>
      <c r="AD295" t="s">
        <v>196</v>
      </c>
      <c r="AE295" t="s">
        <v>192</v>
      </c>
    </row>
    <row r="296" spans="1:31" x14ac:dyDescent="0.3">
      <c r="A296" t="s">
        <v>787</v>
      </c>
      <c r="B296" t="s">
        <v>788</v>
      </c>
      <c r="C296" t="s">
        <v>54</v>
      </c>
      <c r="D296" t="s">
        <v>158</v>
      </c>
      <c r="E296" t="s">
        <v>63</v>
      </c>
      <c r="F296" s="9">
        <v>45785</v>
      </c>
      <c r="G296" s="9">
        <v>45742</v>
      </c>
      <c r="H296" t="s">
        <v>70</v>
      </c>
      <c r="I296" t="s">
        <v>93</v>
      </c>
      <c r="J296" t="s">
        <v>77</v>
      </c>
      <c r="K296" t="s">
        <v>54</v>
      </c>
      <c r="L296" t="s">
        <v>73</v>
      </c>
      <c r="M296" t="s">
        <v>66</v>
      </c>
      <c r="N296">
        <v>2</v>
      </c>
      <c r="O296" t="s">
        <v>64</v>
      </c>
      <c r="P296" t="s">
        <v>54</v>
      </c>
      <c r="Q296" s="9">
        <v>45779</v>
      </c>
      <c r="R296" t="s">
        <v>57</v>
      </c>
      <c r="S296">
        <v>4</v>
      </c>
      <c r="T296">
        <v>1</v>
      </c>
      <c r="U296">
        <v>2</v>
      </c>
      <c r="V296" t="s">
        <v>64</v>
      </c>
      <c r="W296">
        <v>2</v>
      </c>
      <c r="X296" t="s">
        <v>54</v>
      </c>
      <c r="Y296" t="s">
        <v>76</v>
      </c>
      <c r="Z296" t="s">
        <v>190</v>
      </c>
      <c r="AA296">
        <v>11.4</v>
      </c>
      <c r="AB296" t="s">
        <v>71</v>
      </c>
      <c r="AC296" t="s">
        <v>181</v>
      </c>
      <c r="AD296" t="s">
        <v>207</v>
      </c>
      <c r="AE296" t="s">
        <v>237</v>
      </c>
    </row>
    <row r="297" spans="1:31" x14ac:dyDescent="0.3">
      <c r="A297" t="s">
        <v>171</v>
      </c>
      <c r="B297" t="s">
        <v>172</v>
      </c>
      <c r="C297" t="s">
        <v>54</v>
      </c>
      <c r="D297" t="s">
        <v>158</v>
      </c>
      <c r="E297" t="s">
        <v>53</v>
      </c>
      <c r="F297" s="9">
        <v>45859</v>
      </c>
      <c r="G297" s="9">
        <v>45814</v>
      </c>
      <c r="H297" t="s">
        <v>60</v>
      </c>
      <c r="I297" t="s">
        <v>86</v>
      </c>
      <c r="J297" t="s">
        <v>85</v>
      </c>
      <c r="K297" t="s">
        <v>54</v>
      </c>
      <c r="L297" t="s">
        <v>55</v>
      </c>
      <c r="M297" t="s">
        <v>56</v>
      </c>
      <c r="N297">
        <v>3</v>
      </c>
      <c r="O297" t="s">
        <v>64</v>
      </c>
      <c r="P297" t="s">
        <v>54</v>
      </c>
      <c r="Q297" s="9">
        <v>45641</v>
      </c>
      <c r="R297" t="s">
        <v>57</v>
      </c>
      <c r="S297">
        <v>4</v>
      </c>
      <c r="T297">
        <v>2</v>
      </c>
      <c r="U297">
        <v>4</v>
      </c>
      <c r="V297" t="s">
        <v>54</v>
      </c>
      <c r="W297">
        <v>4</v>
      </c>
      <c r="X297" t="s">
        <v>54</v>
      </c>
      <c r="Y297" t="s">
        <v>58</v>
      </c>
      <c r="Z297" t="s">
        <v>190</v>
      </c>
      <c r="AA297">
        <v>11.6</v>
      </c>
      <c r="AB297" t="s">
        <v>61</v>
      </c>
      <c r="AC297" t="s">
        <v>180</v>
      </c>
      <c r="AD297" t="s">
        <v>207</v>
      </c>
      <c r="AE297" t="s">
        <v>222</v>
      </c>
    </row>
    <row r="298" spans="1:31" x14ac:dyDescent="0.3">
      <c r="A298" t="s">
        <v>789</v>
      </c>
      <c r="B298" t="s">
        <v>790</v>
      </c>
      <c r="C298" t="s">
        <v>54</v>
      </c>
      <c r="D298" t="s">
        <v>158</v>
      </c>
      <c r="E298" t="s">
        <v>53</v>
      </c>
      <c r="F298" s="9">
        <v>45920</v>
      </c>
      <c r="G298" s="9">
        <v>45871</v>
      </c>
      <c r="H298" t="s">
        <v>50</v>
      </c>
      <c r="I298" t="s">
        <v>72</v>
      </c>
      <c r="J298" t="s">
        <v>90</v>
      </c>
      <c r="K298" t="s">
        <v>54</v>
      </c>
      <c r="L298" t="s">
        <v>65</v>
      </c>
      <c r="M298" t="s">
        <v>66</v>
      </c>
      <c r="N298">
        <v>2</v>
      </c>
      <c r="O298" t="s">
        <v>64</v>
      </c>
      <c r="P298" t="s">
        <v>64</v>
      </c>
      <c r="Q298" s="9"/>
      <c r="R298" t="s">
        <v>190</v>
      </c>
      <c r="V298" t="s">
        <v>190</v>
      </c>
      <c r="W298">
        <v>3</v>
      </c>
      <c r="X298" t="s">
        <v>64</v>
      </c>
      <c r="Y298" t="s">
        <v>190</v>
      </c>
      <c r="Z298" t="s">
        <v>190</v>
      </c>
      <c r="AA298">
        <v>9.1999999999999993</v>
      </c>
      <c r="AB298" t="s">
        <v>51</v>
      </c>
      <c r="AC298" t="s">
        <v>180</v>
      </c>
      <c r="AD298" t="s">
        <v>192</v>
      </c>
      <c r="AE298" t="s">
        <v>192</v>
      </c>
    </row>
    <row r="299" spans="1:31" x14ac:dyDescent="0.3">
      <c r="A299" t="s">
        <v>791</v>
      </c>
      <c r="B299" t="s">
        <v>792</v>
      </c>
      <c r="C299" t="s">
        <v>54</v>
      </c>
      <c r="D299" t="s">
        <v>158</v>
      </c>
      <c r="E299" t="s">
        <v>63</v>
      </c>
      <c r="F299" s="9">
        <v>45868</v>
      </c>
      <c r="G299" s="9">
        <v>45735</v>
      </c>
      <c r="H299" t="s">
        <v>78</v>
      </c>
      <c r="I299" t="s">
        <v>98</v>
      </c>
      <c r="J299" t="s">
        <v>69</v>
      </c>
      <c r="K299" t="s">
        <v>54</v>
      </c>
      <c r="L299" t="s">
        <v>87</v>
      </c>
      <c r="M299" t="s">
        <v>66</v>
      </c>
      <c r="N299">
        <v>5</v>
      </c>
      <c r="O299" t="s">
        <v>64</v>
      </c>
      <c r="P299" t="s">
        <v>54</v>
      </c>
      <c r="Q299" s="9">
        <v>45739</v>
      </c>
      <c r="R299" t="s">
        <v>75</v>
      </c>
      <c r="S299">
        <v>4</v>
      </c>
      <c r="T299">
        <v>3</v>
      </c>
      <c r="U299">
        <v>4</v>
      </c>
      <c r="V299" t="s">
        <v>54</v>
      </c>
      <c r="W299">
        <v>3</v>
      </c>
      <c r="X299" t="s">
        <v>54</v>
      </c>
      <c r="Y299" t="s">
        <v>58</v>
      </c>
      <c r="Z299" t="s">
        <v>190</v>
      </c>
      <c r="AA299">
        <v>16</v>
      </c>
      <c r="AB299" t="s">
        <v>79</v>
      </c>
      <c r="AC299" t="s">
        <v>181</v>
      </c>
      <c r="AD299" t="s">
        <v>191</v>
      </c>
      <c r="AE299" t="s">
        <v>222</v>
      </c>
    </row>
    <row r="300" spans="1:31" x14ac:dyDescent="0.3">
      <c r="A300" t="s">
        <v>793</v>
      </c>
      <c r="B300" t="s">
        <v>794</v>
      </c>
      <c r="C300" t="s">
        <v>54</v>
      </c>
      <c r="D300" t="s">
        <v>158</v>
      </c>
      <c r="E300" t="s">
        <v>53</v>
      </c>
      <c r="F300" s="9">
        <v>45895</v>
      </c>
      <c r="G300" s="9">
        <v>45804</v>
      </c>
      <c r="H300" t="s">
        <v>60</v>
      </c>
      <c r="I300" t="s">
        <v>89</v>
      </c>
      <c r="J300" t="s">
        <v>90</v>
      </c>
      <c r="K300" t="s">
        <v>54</v>
      </c>
      <c r="L300" t="s">
        <v>65</v>
      </c>
      <c r="M300" t="s">
        <v>56</v>
      </c>
      <c r="N300">
        <v>6</v>
      </c>
      <c r="O300" t="s">
        <v>64</v>
      </c>
      <c r="P300" t="s">
        <v>54</v>
      </c>
      <c r="Q300" s="9">
        <v>45885</v>
      </c>
      <c r="R300" t="s">
        <v>67</v>
      </c>
      <c r="S300">
        <v>4</v>
      </c>
      <c r="T300">
        <v>1</v>
      </c>
      <c r="U300">
        <v>2</v>
      </c>
      <c r="V300" t="s">
        <v>54</v>
      </c>
      <c r="W300">
        <v>4</v>
      </c>
      <c r="X300" t="s">
        <v>64</v>
      </c>
      <c r="Y300" t="s">
        <v>190</v>
      </c>
      <c r="Z300" t="s">
        <v>206</v>
      </c>
      <c r="AA300">
        <v>21.8</v>
      </c>
      <c r="AB300" t="s">
        <v>61</v>
      </c>
      <c r="AC300" t="s">
        <v>180</v>
      </c>
      <c r="AD300" t="s">
        <v>201</v>
      </c>
      <c r="AE300" t="s">
        <v>192</v>
      </c>
    </row>
    <row r="301" spans="1:31" x14ac:dyDescent="0.3">
      <c r="A301" t="s">
        <v>795</v>
      </c>
      <c r="B301" t="s">
        <v>796</v>
      </c>
      <c r="C301" t="s">
        <v>54</v>
      </c>
      <c r="D301" t="s">
        <v>158</v>
      </c>
      <c r="E301" t="s">
        <v>53</v>
      </c>
      <c r="F301" s="9">
        <v>45923</v>
      </c>
      <c r="G301" s="9">
        <v>45793</v>
      </c>
      <c r="H301" t="s">
        <v>70</v>
      </c>
      <c r="I301" t="s">
        <v>95</v>
      </c>
      <c r="J301" t="s">
        <v>69</v>
      </c>
      <c r="K301" t="s">
        <v>54</v>
      </c>
      <c r="L301" t="s">
        <v>65</v>
      </c>
      <c r="M301" t="s">
        <v>66</v>
      </c>
      <c r="N301">
        <v>3</v>
      </c>
      <c r="O301" t="s">
        <v>64</v>
      </c>
      <c r="P301" t="s">
        <v>54</v>
      </c>
      <c r="Q301" s="9">
        <v>45840</v>
      </c>
      <c r="R301" t="s">
        <v>75</v>
      </c>
      <c r="S301">
        <v>4</v>
      </c>
      <c r="T301">
        <v>1</v>
      </c>
      <c r="U301">
        <v>1</v>
      </c>
      <c r="V301" t="s">
        <v>64</v>
      </c>
      <c r="W301">
        <v>4</v>
      </c>
      <c r="X301" t="s">
        <v>64</v>
      </c>
      <c r="Y301" t="s">
        <v>190</v>
      </c>
      <c r="Z301" t="s">
        <v>190</v>
      </c>
      <c r="AA301">
        <v>21.4</v>
      </c>
      <c r="AB301" t="s">
        <v>71</v>
      </c>
      <c r="AC301" t="s">
        <v>180</v>
      </c>
      <c r="AD301" t="s">
        <v>191</v>
      </c>
      <c r="AE301" t="s">
        <v>192</v>
      </c>
    </row>
    <row r="302" spans="1:31" x14ac:dyDescent="0.3">
      <c r="A302" t="s">
        <v>797</v>
      </c>
      <c r="B302" t="s">
        <v>798</v>
      </c>
      <c r="C302" t="s">
        <v>54</v>
      </c>
      <c r="D302" t="s">
        <v>158</v>
      </c>
      <c r="E302" t="s">
        <v>63</v>
      </c>
      <c r="F302" s="9">
        <v>45820</v>
      </c>
      <c r="G302" s="9">
        <v>45767</v>
      </c>
      <c r="H302" t="s">
        <v>60</v>
      </c>
      <c r="I302" t="s">
        <v>86</v>
      </c>
      <c r="J302" t="s">
        <v>77</v>
      </c>
      <c r="K302" t="s">
        <v>54</v>
      </c>
      <c r="L302" t="s">
        <v>81</v>
      </c>
      <c r="M302" t="s">
        <v>56</v>
      </c>
      <c r="N302">
        <v>7</v>
      </c>
      <c r="O302" t="s">
        <v>64</v>
      </c>
      <c r="P302" t="s">
        <v>54</v>
      </c>
      <c r="Q302" s="9">
        <v>45790</v>
      </c>
      <c r="R302" t="s">
        <v>67</v>
      </c>
      <c r="S302">
        <v>4</v>
      </c>
      <c r="T302">
        <v>1</v>
      </c>
      <c r="U302">
        <v>2</v>
      </c>
      <c r="V302" t="s">
        <v>54</v>
      </c>
      <c r="W302">
        <v>2</v>
      </c>
      <c r="X302" t="s">
        <v>64</v>
      </c>
      <c r="Y302" t="s">
        <v>190</v>
      </c>
      <c r="Z302" t="s">
        <v>190</v>
      </c>
      <c r="AA302">
        <v>18.899999999999999</v>
      </c>
      <c r="AB302" t="s">
        <v>61</v>
      </c>
      <c r="AC302" t="s">
        <v>181</v>
      </c>
      <c r="AD302" t="s">
        <v>201</v>
      </c>
      <c r="AE302" t="s">
        <v>192</v>
      </c>
    </row>
    <row r="303" spans="1:31" x14ac:dyDescent="0.3">
      <c r="A303" t="s">
        <v>799</v>
      </c>
      <c r="B303" t="s">
        <v>800</v>
      </c>
      <c r="C303" t="s">
        <v>54</v>
      </c>
      <c r="D303" t="s">
        <v>158</v>
      </c>
      <c r="E303" t="s">
        <v>53</v>
      </c>
      <c r="F303" s="9">
        <v>45905</v>
      </c>
      <c r="G303" s="9">
        <v>45833</v>
      </c>
      <c r="H303" t="s">
        <v>50</v>
      </c>
      <c r="I303" t="s">
        <v>62</v>
      </c>
      <c r="J303" t="s">
        <v>69</v>
      </c>
      <c r="K303" t="s">
        <v>54</v>
      </c>
      <c r="L303" t="s">
        <v>81</v>
      </c>
      <c r="M303" t="s">
        <v>66</v>
      </c>
      <c r="N303">
        <v>3</v>
      </c>
      <c r="O303" t="s">
        <v>64</v>
      </c>
      <c r="P303" t="s">
        <v>54</v>
      </c>
      <c r="Q303" s="9">
        <v>45873</v>
      </c>
      <c r="R303" t="s">
        <v>57</v>
      </c>
      <c r="S303">
        <v>4</v>
      </c>
      <c r="T303">
        <v>3</v>
      </c>
      <c r="U303">
        <v>4</v>
      </c>
      <c r="V303" t="s">
        <v>64</v>
      </c>
      <c r="W303">
        <v>3</v>
      </c>
      <c r="X303" t="s">
        <v>64</v>
      </c>
      <c r="Y303" t="s">
        <v>76</v>
      </c>
      <c r="Z303" t="s">
        <v>472</v>
      </c>
      <c r="AA303">
        <v>25.5</v>
      </c>
      <c r="AB303" t="s">
        <v>51</v>
      </c>
      <c r="AC303" t="s">
        <v>180</v>
      </c>
      <c r="AD303" t="s">
        <v>207</v>
      </c>
      <c r="AE303" t="s">
        <v>237</v>
      </c>
    </row>
    <row r="304" spans="1:31" x14ac:dyDescent="0.3">
      <c r="A304" t="s">
        <v>801</v>
      </c>
      <c r="B304" t="s">
        <v>802</v>
      </c>
      <c r="C304" t="s">
        <v>54</v>
      </c>
      <c r="D304" t="s">
        <v>158</v>
      </c>
      <c r="E304" t="s">
        <v>53</v>
      </c>
      <c r="F304" s="9">
        <v>45822</v>
      </c>
      <c r="G304" s="9">
        <v>45709</v>
      </c>
      <c r="H304" t="s">
        <v>60</v>
      </c>
      <c r="I304" t="s">
        <v>80</v>
      </c>
      <c r="J304" t="s">
        <v>69</v>
      </c>
      <c r="K304" t="s">
        <v>54</v>
      </c>
      <c r="L304" t="s">
        <v>73</v>
      </c>
      <c r="M304" t="s">
        <v>66</v>
      </c>
      <c r="N304">
        <v>4</v>
      </c>
      <c r="O304" t="s">
        <v>54</v>
      </c>
      <c r="P304" t="s">
        <v>54</v>
      </c>
      <c r="Q304" s="9">
        <v>45748</v>
      </c>
      <c r="R304" t="s">
        <v>75</v>
      </c>
      <c r="S304">
        <v>3</v>
      </c>
      <c r="T304">
        <v>1</v>
      </c>
      <c r="U304">
        <v>2</v>
      </c>
      <c r="V304" t="s">
        <v>64</v>
      </c>
      <c r="W304">
        <v>4</v>
      </c>
      <c r="X304" t="s">
        <v>54</v>
      </c>
      <c r="Y304" t="s">
        <v>76</v>
      </c>
      <c r="Z304" t="s">
        <v>190</v>
      </c>
      <c r="AA304">
        <v>14.7</v>
      </c>
      <c r="AB304" t="s">
        <v>61</v>
      </c>
      <c r="AC304" t="s">
        <v>180</v>
      </c>
      <c r="AD304" t="s">
        <v>191</v>
      </c>
      <c r="AE304" t="s">
        <v>237</v>
      </c>
    </row>
    <row r="305" spans="1:31" x14ac:dyDescent="0.3">
      <c r="A305" t="s">
        <v>803</v>
      </c>
      <c r="B305" t="s">
        <v>804</v>
      </c>
      <c r="C305" t="s">
        <v>54</v>
      </c>
      <c r="D305" t="s">
        <v>158</v>
      </c>
      <c r="E305" t="s">
        <v>63</v>
      </c>
      <c r="F305" s="9">
        <v>45871</v>
      </c>
      <c r="G305" s="9">
        <v>45797</v>
      </c>
      <c r="H305" t="s">
        <v>60</v>
      </c>
      <c r="I305" t="s">
        <v>89</v>
      </c>
      <c r="J305" t="s">
        <v>88</v>
      </c>
      <c r="K305" t="s">
        <v>54</v>
      </c>
      <c r="L305" t="s">
        <v>65</v>
      </c>
      <c r="M305" t="s">
        <v>56</v>
      </c>
      <c r="N305">
        <v>4</v>
      </c>
      <c r="O305" t="s">
        <v>64</v>
      </c>
      <c r="P305" t="s">
        <v>64</v>
      </c>
      <c r="Q305" s="9"/>
      <c r="R305" t="s">
        <v>190</v>
      </c>
      <c r="V305" t="s">
        <v>190</v>
      </c>
      <c r="W305">
        <v>2</v>
      </c>
      <c r="X305" t="s">
        <v>64</v>
      </c>
      <c r="Y305" t="s">
        <v>190</v>
      </c>
      <c r="Z305" t="s">
        <v>190</v>
      </c>
      <c r="AA305">
        <v>24.9</v>
      </c>
      <c r="AB305" t="s">
        <v>61</v>
      </c>
      <c r="AC305" t="s">
        <v>181</v>
      </c>
      <c r="AD305" t="s">
        <v>192</v>
      </c>
      <c r="AE305" t="s">
        <v>192</v>
      </c>
    </row>
    <row r="306" spans="1:31" x14ac:dyDescent="0.3">
      <c r="A306" t="s">
        <v>805</v>
      </c>
      <c r="B306" t="s">
        <v>806</v>
      </c>
      <c r="C306" t="s">
        <v>54</v>
      </c>
      <c r="D306" t="s">
        <v>158</v>
      </c>
      <c r="E306" t="s">
        <v>63</v>
      </c>
      <c r="F306" s="9">
        <v>45899</v>
      </c>
      <c r="G306" s="9">
        <v>45810</v>
      </c>
      <c r="H306" t="s">
        <v>50</v>
      </c>
      <c r="I306" t="s">
        <v>80</v>
      </c>
      <c r="J306" t="s">
        <v>92</v>
      </c>
      <c r="K306" t="s">
        <v>54</v>
      </c>
      <c r="L306" t="s">
        <v>81</v>
      </c>
      <c r="M306" t="s">
        <v>56</v>
      </c>
      <c r="N306">
        <v>5</v>
      </c>
      <c r="O306" t="s">
        <v>64</v>
      </c>
      <c r="P306" t="s">
        <v>64</v>
      </c>
      <c r="Q306" s="9"/>
      <c r="R306" t="s">
        <v>190</v>
      </c>
      <c r="V306" t="s">
        <v>190</v>
      </c>
      <c r="W306">
        <v>4</v>
      </c>
      <c r="X306" t="s">
        <v>54</v>
      </c>
      <c r="Y306" t="s">
        <v>68</v>
      </c>
      <c r="Z306" t="s">
        <v>190</v>
      </c>
      <c r="AA306">
        <v>11.7</v>
      </c>
      <c r="AB306" t="s">
        <v>51</v>
      </c>
      <c r="AC306" t="s">
        <v>181</v>
      </c>
      <c r="AD306" t="s">
        <v>192</v>
      </c>
      <c r="AE306" t="s">
        <v>243</v>
      </c>
    </row>
    <row r="307" spans="1:31" x14ac:dyDescent="0.3">
      <c r="A307" t="s">
        <v>807</v>
      </c>
      <c r="B307" t="s">
        <v>808</v>
      </c>
      <c r="C307" t="s">
        <v>54</v>
      </c>
      <c r="D307" t="s">
        <v>158</v>
      </c>
      <c r="E307" t="s">
        <v>63</v>
      </c>
      <c r="F307" s="9">
        <v>45890</v>
      </c>
      <c r="G307" s="9">
        <v>45742</v>
      </c>
      <c r="H307" t="s">
        <v>78</v>
      </c>
      <c r="I307" t="s">
        <v>97</v>
      </c>
      <c r="J307" t="s">
        <v>90</v>
      </c>
      <c r="K307" t="s">
        <v>54</v>
      </c>
      <c r="L307" t="s">
        <v>73</v>
      </c>
      <c r="M307" t="s">
        <v>56</v>
      </c>
      <c r="N307">
        <v>4</v>
      </c>
      <c r="O307" t="s">
        <v>54</v>
      </c>
      <c r="P307" t="s">
        <v>64</v>
      </c>
      <c r="Q307" s="9"/>
      <c r="R307" t="s">
        <v>190</v>
      </c>
      <c r="V307" t="s">
        <v>190</v>
      </c>
      <c r="W307">
        <v>5</v>
      </c>
      <c r="X307" t="s">
        <v>64</v>
      </c>
      <c r="Y307" t="s">
        <v>190</v>
      </c>
      <c r="Z307" t="s">
        <v>190</v>
      </c>
      <c r="AA307">
        <v>14.2</v>
      </c>
      <c r="AB307" t="s">
        <v>79</v>
      </c>
      <c r="AC307" t="s">
        <v>181</v>
      </c>
      <c r="AD307" t="s">
        <v>192</v>
      </c>
      <c r="AE307" t="s">
        <v>192</v>
      </c>
    </row>
    <row r="308" spans="1:31" x14ac:dyDescent="0.3">
      <c r="A308" t="s">
        <v>809</v>
      </c>
      <c r="B308" t="s">
        <v>810</v>
      </c>
      <c r="C308" t="s">
        <v>54</v>
      </c>
      <c r="D308" t="s">
        <v>158</v>
      </c>
      <c r="E308" t="s">
        <v>53</v>
      </c>
      <c r="F308" s="9">
        <v>45812</v>
      </c>
      <c r="G308" s="9">
        <v>45681</v>
      </c>
      <c r="H308" t="s">
        <v>70</v>
      </c>
      <c r="I308" t="s">
        <v>93</v>
      </c>
      <c r="J308" t="s">
        <v>88</v>
      </c>
      <c r="K308" t="s">
        <v>54</v>
      </c>
      <c r="L308" t="s">
        <v>73</v>
      </c>
      <c r="M308" t="s">
        <v>56</v>
      </c>
      <c r="N308">
        <v>6</v>
      </c>
      <c r="O308" t="s">
        <v>64</v>
      </c>
      <c r="P308" t="s">
        <v>54</v>
      </c>
      <c r="Q308" s="9">
        <v>45684</v>
      </c>
      <c r="R308" t="s">
        <v>75</v>
      </c>
      <c r="S308">
        <v>4</v>
      </c>
      <c r="T308">
        <v>4</v>
      </c>
      <c r="U308">
        <v>5</v>
      </c>
      <c r="V308" t="s">
        <v>64</v>
      </c>
      <c r="W308">
        <v>5</v>
      </c>
      <c r="X308" t="s">
        <v>64</v>
      </c>
      <c r="Y308" t="s">
        <v>190</v>
      </c>
      <c r="Z308" t="s">
        <v>190</v>
      </c>
      <c r="AA308">
        <v>18.5</v>
      </c>
      <c r="AB308" t="s">
        <v>71</v>
      </c>
      <c r="AC308" t="s">
        <v>180</v>
      </c>
      <c r="AD308" t="s">
        <v>191</v>
      </c>
      <c r="AE308" t="s">
        <v>192</v>
      </c>
    </row>
    <row r="309" spans="1:31" x14ac:dyDescent="0.3">
      <c r="A309" t="s">
        <v>811</v>
      </c>
      <c r="B309" t="s">
        <v>812</v>
      </c>
      <c r="C309" t="s">
        <v>54</v>
      </c>
      <c r="D309" t="s">
        <v>158</v>
      </c>
      <c r="E309" t="s">
        <v>53</v>
      </c>
      <c r="F309" s="9">
        <v>45841</v>
      </c>
      <c r="G309" s="9">
        <v>45720</v>
      </c>
      <c r="H309" t="s">
        <v>60</v>
      </c>
      <c r="I309" t="s">
        <v>86</v>
      </c>
      <c r="J309" t="s">
        <v>92</v>
      </c>
      <c r="K309" t="s">
        <v>54</v>
      </c>
      <c r="L309" t="s">
        <v>65</v>
      </c>
      <c r="M309" t="s">
        <v>66</v>
      </c>
      <c r="N309">
        <v>5</v>
      </c>
      <c r="O309" t="s">
        <v>64</v>
      </c>
      <c r="P309" t="s">
        <v>64</v>
      </c>
      <c r="Q309" s="9"/>
      <c r="R309" t="s">
        <v>190</v>
      </c>
      <c r="V309" t="s">
        <v>190</v>
      </c>
      <c r="W309">
        <v>3</v>
      </c>
      <c r="X309" t="s">
        <v>64</v>
      </c>
      <c r="Y309" t="s">
        <v>190</v>
      </c>
      <c r="Z309" t="s">
        <v>190</v>
      </c>
      <c r="AA309">
        <v>18.2</v>
      </c>
      <c r="AB309" t="s">
        <v>61</v>
      </c>
      <c r="AC309" t="s">
        <v>180</v>
      </c>
      <c r="AD309" t="s">
        <v>192</v>
      </c>
      <c r="AE309" t="s">
        <v>192</v>
      </c>
    </row>
    <row r="310" spans="1:31" x14ac:dyDescent="0.3">
      <c r="A310" t="s">
        <v>813</v>
      </c>
      <c r="B310" t="s">
        <v>814</v>
      </c>
      <c r="C310" t="s">
        <v>54</v>
      </c>
      <c r="D310" t="s">
        <v>158</v>
      </c>
      <c r="E310" t="s">
        <v>63</v>
      </c>
      <c r="F310" s="9">
        <v>45890</v>
      </c>
      <c r="G310" s="9">
        <v>45792</v>
      </c>
      <c r="H310" t="s">
        <v>78</v>
      </c>
      <c r="I310" t="s">
        <v>96</v>
      </c>
      <c r="J310" t="s">
        <v>92</v>
      </c>
      <c r="K310" t="s">
        <v>54</v>
      </c>
      <c r="L310" t="s">
        <v>65</v>
      </c>
      <c r="M310" t="s">
        <v>66</v>
      </c>
      <c r="N310">
        <v>4</v>
      </c>
      <c r="O310" t="s">
        <v>64</v>
      </c>
      <c r="P310" t="s">
        <v>54</v>
      </c>
      <c r="Q310" s="9">
        <v>45804</v>
      </c>
      <c r="R310" t="s">
        <v>57</v>
      </c>
      <c r="S310">
        <v>5</v>
      </c>
      <c r="T310">
        <v>3</v>
      </c>
      <c r="U310">
        <v>5</v>
      </c>
      <c r="V310" t="s">
        <v>54</v>
      </c>
      <c r="W310">
        <v>4</v>
      </c>
      <c r="X310" t="s">
        <v>64</v>
      </c>
      <c r="Y310" t="s">
        <v>190</v>
      </c>
      <c r="Z310" t="s">
        <v>190</v>
      </c>
      <c r="AA310">
        <v>18</v>
      </c>
      <c r="AB310" t="s">
        <v>79</v>
      </c>
      <c r="AC310" t="s">
        <v>181</v>
      </c>
      <c r="AD310" t="s">
        <v>207</v>
      </c>
      <c r="AE310" t="s">
        <v>192</v>
      </c>
    </row>
    <row r="311" spans="1:31" x14ac:dyDescent="0.3">
      <c r="A311" t="s">
        <v>815</v>
      </c>
      <c r="B311" t="s">
        <v>816</v>
      </c>
      <c r="C311" t="s">
        <v>54</v>
      </c>
      <c r="D311" t="s">
        <v>158</v>
      </c>
      <c r="E311" t="s">
        <v>63</v>
      </c>
      <c r="F311" s="9">
        <v>45834</v>
      </c>
      <c r="G311" s="9">
        <v>45731</v>
      </c>
      <c r="H311" t="s">
        <v>60</v>
      </c>
      <c r="I311" t="s">
        <v>89</v>
      </c>
      <c r="J311" t="s">
        <v>94</v>
      </c>
      <c r="K311" t="s">
        <v>54</v>
      </c>
      <c r="L311" t="s">
        <v>65</v>
      </c>
      <c r="M311" t="s">
        <v>56</v>
      </c>
      <c r="N311">
        <v>6</v>
      </c>
      <c r="O311" t="s">
        <v>64</v>
      </c>
      <c r="P311" t="s">
        <v>64</v>
      </c>
      <c r="Q311" s="9"/>
      <c r="R311" t="s">
        <v>190</v>
      </c>
      <c r="V311" t="s">
        <v>190</v>
      </c>
      <c r="W311">
        <v>5</v>
      </c>
      <c r="X311" t="s">
        <v>54</v>
      </c>
      <c r="Y311" t="s">
        <v>58</v>
      </c>
      <c r="Z311" t="s">
        <v>190</v>
      </c>
      <c r="AA311">
        <v>11.8</v>
      </c>
      <c r="AB311" t="s">
        <v>61</v>
      </c>
      <c r="AC311" t="s">
        <v>181</v>
      </c>
      <c r="AD311" t="s">
        <v>192</v>
      </c>
      <c r="AE311" t="s">
        <v>222</v>
      </c>
    </row>
    <row r="312" spans="1:31" x14ac:dyDescent="0.3">
      <c r="A312" t="s">
        <v>817</v>
      </c>
      <c r="B312" t="s">
        <v>529</v>
      </c>
      <c r="C312" t="s">
        <v>54</v>
      </c>
      <c r="D312" t="s">
        <v>158</v>
      </c>
      <c r="E312" t="s">
        <v>63</v>
      </c>
      <c r="F312" s="9">
        <v>45854</v>
      </c>
      <c r="G312" s="9">
        <v>45802</v>
      </c>
      <c r="H312" t="s">
        <v>60</v>
      </c>
      <c r="I312" t="s">
        <v>80</v>
      </c>
      <c r="J312" t="s">
        <v>92</v>
      </c>
      <c r="K312" t="s">
        <v>54</v>
      </c>
      <c r="L312" t="s">
        <v>73</v>
      </c>
      <c r="M312" t="s">
        <v>66</v>
      </c>
      <c r="N312">
        <v>4</v>
      </c>
      <c r="O312" t="s">
        <v>64</v>
      </c>
      <c r="P312" t="s">
        <v>54</v>
      </c>
      <c r="Q312" s="9">
        <v>45807</v>
      </c>
      <c r="R312" t="s">
        <v>67</v>
      </c>
      <c r="S312">
        <v>4</v>
      </c>
      <c r="T312">
        <v>2</v>
      </c>
      <c r="U312">
        <v>3</v>
      </c>
      <c r="V312" t="s">
        <v>54</v>
      </c>
      <c r="W312">
        <v>1</v>
      </c>
      <c r="X312" t="s">
        <v>64</v>
      </c>
      <c r="Y312" t="s">
        <v>190</v>
      </c>
      <c r="Z312" t="s">
        <v>242</v>
      </c>
      <c r="AA312">
        <v>19.899999999999999</v>
      </c>
      <c r="AB312" t="s">
        <v>61</v>
      </c>
      <c r="AC312" t="s">
        <v>181</v>
      </c>
      <c r="AD312" t="s">
        <v>201</v>
      </c>
      <c r="AE312" t="s">
        <v>192</v>
      </c>
    </row>
    <row r="313" spans="1:31" x14ac:dyDescent="0.3">
      <c r="A313" t="s">
        <v>818</v>
      </c>
      <c r="B313" t="s">
        <v>819</v>
      </c>
      <c r="C313" t="s">
        <v>54</v>
      </c>
      <c r="D313" t="s">
        <v>158</v>
      </c>
      <c r="E313" t="s">
        <v>63</v>
      </c>
      <c r="F313" s="9">
        <v>45788</v>
      </c>
      <c r="G313" s="9">
        <v>45654</v>
      </c>
      <c r="H313" t="s">
        <v>78</v>
      </c>
      <c r="I313" t="s">
        <v>96</v>
      </c>
      <c r="J313" t="s">
        <v>77</v>
      </c>
      <c r="K313" t="s">
        <v>54</v>
      </c>
      <c r="L313" t="s">
        <v>65</v>
      </c>
      <c r="M313" t="s">
        <v>56</v>
      </c>
      <c r="N313">
        <v>2</v>
      </c>
      <c r="O313" t="s">
        <v>64</v>
      </c>
      <c r="P313" t="s">
        <v>54</v>
      </c>
      <c r="Q313" s="9">
        <v>45654</v>
      </c>
      <c r="R313" t="s">
        <v>57</v>
      </c>
      <c r="S313">
        <v>4</v>
      </c>
      <c r="T313">
        <v>1</v>
      </c>
      <c r="U313">
        <v>2</v>
      </c>
      <c r="V313" t="s">
        <v>64</v>
      </c>
      <c r="W313">
        <v>5</v>
      </c>
      <c r="X313" t="s">
        <v>64</v>
      </c>
      <c r="Y313" t="s">
        <v>190</v>
      </c>
      <c r="Z313" t="s">
        <v>190</v>
      </c>
      <c r="AA313">
        <v>22.2</v>
      </c>
      <c r="AB313" t="s">
        <v>79</v>
      </c>
      <c r="AC313" t="s">
        <v>181</v>
      </c>
      <c r="AD313" t="s">
        <v>207</v>
      </c>
      <c r="AE313" t="s">
        <v>192</v>
      </c>
    </row>
    <row r="314" spans="1:31" x14ac:dyDescent="0.3">
      <c r="A314" t="s">
        <v>820</v>
      </c>
      <c r="B314" t="s">
        <v>821</v>
      </c>
      <c r="C314" t="s">
        <v>54</v>
      </c>
      <c r="D314" t="s">
        <v>158</v>
      </c>
      <c r="E314" t="s">
        <v>53</v>
      </c>
      <c r="F314" s="9">
        <v>45854</v>
      </c>
      <c r="G314" s="9">
        <v>45719</v>
      </c>
      <c r="H314" t="s">
        <v>60</v>
      </c>
      <c r="I314" t="s">
        <v>86</v>
      </c>
      <c r="J314" t="s">
        <v>94</v>
      </c>
      <c r="K314" t="s">
        <v>54</v>
      </c>
      <c r="L314" t="s">
        <v>73</v>
      </c>
      <c r="M314" t="s">
        <v>66</v>
      </c>
      <c r="N314">
        <v>7</v>
      </c>
      <c r="O314" t="s">
        <v>64</v>
      </c>
      <c r="P314" t="s">
        <v>64</v>
      </c>
      <c r="Q314" s="9"/>
      <c r="R314" t="s">
        <v>190</v>
      </c>
      <c r="V314" t="s">
        <v>190</v>
      </c>
      <c r="W314">
        <v>4</v>
      </c>
      <c r="X314" t="s">
        <v>64</v>
      </c>
      <c r="Y314" t="s">
        <v>190</v>
      </c>
      <c r="Z314" t="s">
        <v>190</v>
      </c>
      <c r="AA314">
        <v>16.100000000000001</v>
      </c>
      <c r="AB314" t="s">
        <v>61</v>
      </c>
      <c r="AC314" t="s">
        <v>180</v>
      </c>
      <c r="AD314" t="s">
        <v>192</v>
      </c>
      <c r="AE314" t="s">
        <v>192</v>
      </c>
    </row>
    <row r="315" spans="1:31" x14ac:dyDescent="0.3">
      <c r="A315" t="s">
        <v>822</v>
      </c>
      <c r="B315" t="s">
        <v>823</v>
      </c>
      <c r="C315" t="s">
        <v>54</v>
      </c>
      <c r="D315" t="s">
        <v>158</v>
      </c>
      <c r="E315" t="s">
        <v>63</v>
      </c>
      <c r="F315" s="9">
        <v>45833</v>
      </c>
      <c r="G315" s="9">
        <v>45743</v>
      </c>
      <c r="H315" t="s">
        <v>60</v>
      </c>
      <c r="I315" t="s">
        <v>80</v>
      </c>
      <c r="J315" t="s">
        <v>92</v>
      </c>
      <c r="K315" t="s">
        <v>54</v>
      </c>
      <c r="L315" t="s">
        <v>55</v>
      </c>
      <c r="M315" t="s">
        <v>56</v>
      </c>
      <c r="N315">
        <v>5</v>
      </c>
      <c r="O315" t="s">
        <v>64</v>
      </c>
      <c r="P315" t="s">
        <v>54</v>
      </c>
      <c r="Q315" s="9">
        <v>45811</v>
      </c>
      <c r="R315" t="s">
        <v>75</v>
      </c>
      <c r="S315">
        <v>4</v>
      </c>
      <c r="T315">
        <v>1</v>
      </c>
      <c r="U315">
        <v>3</v>
      </c>
      <c r="V315" t="s">
        <v>54</v>
      </c>
      <c r="W315">
        <v>2</v>
      </c>
      <c r="X315" t="s">
        <v>54</v>
      </c>
      <c r="Y315" t="s">
        <v>76</v>
      </c>
      <c r="Z315" t="s">
        <v>405</v>
      </c>
      <c r="AA315">
        <v>30.9</v>
      </c>
      <c r="AB315" t="s">
        <v>61</v>
      </c>
      <c r="AC315" t="s">
        <v>181</v>
      </c>
      <c r="AD315" t="s">
        <v>191</v>
      </c>
      <c r="AE315" t="s">
        <v>237</v>
      </c>
    </row>
    <row r="316" spans="1:31" x14ac:dyDescent="0.3">
      <c r="A316" t="s">
        <v>824</v>
      </c>
      <c r="B316" t="s">
        <v>825</v>
      </c>
      <c r="C316" t="s">
        <v>54</v>
      </c>
      <c r="D316" t="s">
        <v>158</v>
      </c>
      <c r="E316" t="s">
        <v>53</v>
      </c>
      <c r="F316" s="9">
        <v>45845</v>
      </c>
      <c r="G316" s="9">
        <v>45736</v>
      </c>
      <c r="H316" t="s">
        <v>70</v>
      </c>
      <c r="I316" t="s">
        <v>91</v>
      </c>
      <c r="J316" t="s">
        <v>77</v>
      </c>
      <c r="K316" t="s">
        <v>54</v>
      </c>
      <c r="L316" t="s">
        <v>81</v>
      </c>
      <c r="M316" t="s">
        <v>56</v>
      </c>
      <c r="N316">
        <v>4</v>
      </c>
      <c r="O316" t="s">
        <v>64</v>
      </c>
      <c r="P316" t="s">
        <v>64</v>
      </c>
      <c r="Q316" s="9"/>
      <c r="R316" t="s">
        <v>190</v>
      </c>
      <c r="V316" t="s">
        <v>190</v>
      </c>
      <c r="W316">
        <v>4</v>
      </c>
      <c r="X316" t="s">
        <v>64</v>
      </c>
      <c r="Y316" t="s">
        <v>190</v>
      </c>
      <c r="Z316" t="s">
        <v>190</v>
      </c>
      <c r="AA316">
        <v>13.8</v>
      </c>
      <c r="AB316" t="s">
        <v>71</v>
      </c>
      <c r="AC316" t="s">
        <v>180</v>
      </c>
      <c r="AD316" t="s">
        <v>192</v>
      </c>
      <c r="AE316" t="s">
        <v>192</v>
      </c>
    </row>
    <row r="317" spans="1:31" x14ac:dyDescent="0.3">
      <c r="A317" t="s">
        <v>826</v>
      </c>
      <c r="B317" t="s">
        <v>827</v>
      </c>
      <c r="C317" t="s">
        <v>54</v>
      </c>
      <c r="D317" t="s">
        <v>158</v>
      </c>
      <c r="E317" t="s">
        <v>63</v>
      </c>
      <c r="F317" s="9">
        <v>45816</v>
      </c>
      <c r="G317" s="9">
        <v>45763</v>
      </c>
      <c r="H317" t="s">
        <v>50</v>
      </c>
      <c r="I317" t="s">
        <v>52</v>
      </c>
      <c r="J317" t="s">
        <v>90</v>
      </c>
      <c r="K317" t="s">
        <v>54</v>
      </c>
      <c r="L317" t="s">
        <v>190</v>
      </c>
      <c r="M317" t="s">
        <v>56</v>
      </c>
      <c r="N317">
        <v>3</v>
      </c>
      <c r="O317" t="s">
        <v>64</v>
      </c>
      <c r="P317" t="s">
        <v>64</v>
      </c>
      <c r="Q317" s="9"/>
      <c r="R317" t="s">
        <v>190</v>
      </c>
      <c r="V317" t="s">
        <v>190</v>
      </c>
      <c r="W317">
        <v>5</v>
      </c>
      <c r="X317" t="s">
        <v>64</v>
      </c>
      <c r="Y317" t="s">
        <v>190</v>
      </c>
      <c r="Z317" t="s">
        <v>190</v>
      </c>
      <c r="AA317">
        <v>11.1</v>
      </c>
      <c r="AB317" t="s">
        <v>51</v>
      </c>
      <c r="AC317" t="s">
        <v>181</v>
      </c>
      <c r="AD317" t="s">
        <v>192</v>
      </c>
      <c r="AE317" t="s">
        <v>192</v>
      </c>
    </row>
    <row r="318" spans="1:31" x14ac:dyDescent="0.3">
      <c r="A318" t="s">
        <v>828</v>
      </c>
      <c r="B318" t="s">
        <v>829</v>
      </c>
      <c r="C318" t="s">
        <v>54</v>
      </c>
      <c r="D318" t="s">
        <v>158</v>
      </c>
      <c r="E318" t="s">
        <v>53</v>
      </c>
      <c r="F318" s="9">
        <v>45862</v>
      </c>
      <c r="G318" s="9">
        <v>45730</v>
      </c>
      <c r="H318" t="s">
        <v>78</v>
      </c>
      <c r="I318" t="s">
        <v>96</v>
      </c>
      <c r="J318" t="s">
        <v>92</v>
      </c>
      <c r="K318" t="s">
        <v>54</v>
      </c>
      <c r="L318" t="s">
        <v>55</v>
      </c>
      <c r="M318" t="s">
        <v>74</v>
      </c>
      <c r="N318">
        <v>3</v>
      </c>
      <c r="O318" t="s">
        <v>64</v>
      </c>
      <c r="P318" t="s">
        <v>64</v>
      </c>
      <c r="Q318" s="9"/>
      <c r="R318" t="s">
        <v>190</v>
      </c>
      <c r="V318" t="s">
        <v>190</v>
      </c>
      <c r="W318">
        <v>4</v>
      </c>
      <c r="X318" t="s">
        <v>54</v>
      </c>
      <c r="Y318" t="s">
        <v>58</v>
      </c>
      <c r="Z318" t="s">
        <v>190</v>
      </c>
      <c r="AA318">
        <v>16</v>
      </c>
      <c r="AB318" t="s">
        <v>79</v>
      </c>
      <c r="AC318" t="s">
        <v>180</v>
      </c>
      <c r="AD318" t="s">
        <v>192</v>
      </c>
      <c r="AE318" t="s">
        <v>222</v>
      </c>
    </row>
    <row r="319" spans="1:31" x14ac:dyDescent="0.3">
      <c r="A319" t="s">
        <v>165</v>
      </c>
      <c r="B319" t="s">
        <v>164</v>
      </c>
      <c r="C319" t="s">
        <v>54</v>
      </c>
      <c r="D319" t="s">
        <v>158</v>
      </c>
      <c r="E319" t="s">
        <v>53</v>
      </c>
      <c r="F319" s="9">
        <v>45851</v>
      </c>
      <c r="G319" s="9">
        <v>45810</v>
      </c>
      <c r="H319" t="s">
        <v>70</v>
      </c>
      <c r="I319" t="s">
        <v>93</v>
      </c>
      <c r="J319" t="s">
        <v>90</v>
      </c>
      <c r="K319" t="s">
        <v>54</v>
      </c>
      <c r="L319" t="s">
        <v>55</v>
      </c>
      <c r="M319" t="s">
        <v>66</v>
      </c>
      <c r="N319">
        <v>8</v>
      </c>
      <c r="O319" t="s">
        <v>64</v>
      </c>
      <c r="P319" t="s">
        <v>54</v>
      </c>
      <c r="Q319" s="9">
        <v>45850</v>
      </c>
      <c r="R319" t="s">
        <v>57</v>
      </c>
      <c r="S319">
        <v>5</v>
      </c>
      <c r="T319">
        <v>2</v>
      </c>
      <c r="U319">
        <v>2</v>
      </c>
      <c r="V319" t="s">
        <v>54</v>
      </c>
      <c r="W319">
        <v>4</v>
      </c>
      <c r="X319" t="s">
        <v>54</v>
      </c>
      <c r="Y319" t="s">
        <v>76</v>
      </c>
      <c r="Z319" t="s">
        <v>190</v>
      </c>
      <c r="AA319">
        <v>19.5</v>
      </c>
      <c r="AB319" t="s">
        <v>71</v>
      </c>
      <c r="AC319" t="s">
        <v>180</v>
      </c>
      <c r="AD319" t="s">
        <v>207</v>
      </c>
      <c r="AE319" t="s">
        <v>237</v>
      </c>
    </row>
    <row r="320" spans="1:31" x14ac:dyDescent="0.3">
      <c r="A320" t="s">
        <v>830</v>
      </c>
      <c r="B320" t="s">
        <v>831</v>
      </c>
      <c r="C320" t="s">
        <v>54</v>
      </c>
      <c r="D320" t="s">
        <v>158</v>
      </c>
      <c r="E320" t="s">
        <v>63</v>
      </c>
      <c r="F320" s="9">
        <v>45789</v>
      </c>
      <c r="G320" s="9">
        <v>45747</v>
      </c>
      <c r="H320" t="s">
        <v>70</v>
      </c>
      <c r="I320" t="s">
        <v>93</v>
      </c>
      <c r="J320" t="s">
        <v>69</v>
      </c>
      <c r="K320" t="s">
        <v>54</v>
      </c>
      <c r="L320" t="s">
        <v>65</v>
      </c>
      <c r="M320" t="s">
        <v>56</v>
      </c>
      <c r="N320">
        <v>5</v>
      </c>
      <c r="O320" t="s">
        <v>64</v>
      </c>
      <c r="P320" t="s">
        <v>54</v>
      </c>
      <c r="Q320" s="9">
        <v>45788</v>
      </c>
      <c r="R320" t="s">
        <v>83</v>
      </c>
      <c r="S320">
        <v>2</v>
      </c>
      <c r="T320">
        <v>2</v>
      </c>
      <c r="U320">
        <v>3</v>
      </c>
      <c r="V320" t="s">
        <v>54</v>
      </c>
      <c r="W320">
        <v>5</v>
      </c>
      <c r="X320" t="s">
        <v>64</v>
      </c>
      <c r="Y320" t="s">
        <v>190</v>
      </c>
      <c r="Z320" t="s">
        <v>190</v>
      </c>
      <c r="AA320">
        <v>19.7</v>
      </c>
      <c r="AB320" t="s">
        <v>71</v>
      </c>
      <c r="AC320" t="s">
        <v>181</v>
      </c>
      <c r="AD320" t="s">
        <v>196</v>
      </c>
      <c r="AE320" t="s">
        <v>192</v>
      </c>
    </row>
    <row r="321" spans="1:31" x14ac:dyDescent="0.3">
      <c r="A321" t="s">
        <v>832</v>
      </c>
      <c r="B321" t="s">
        <v>833</v>
      </c>
      <c r="C321" t="s">
        <v>54</v>
      </c>
      <c r="D321" t="s">
        <v>158</v>
      </c>
      <c r="E321" t="s">
        <v>63</v>
      </c>
      <c r="F321" s="9">
        <v>45921</v>
      </c>
      <c r="G321" s="9">
        <v>45884</v>
      </c>
      <c r="H321" t="s">
        <v>60</v>
      </c>
      <c r="I321" t="s">
        <v>80</v>
      </c>
      <c r="J321" t="s">
        <v>88</v>
      </c>
      <c r="K321" t="s">
        <v>54</v>
      </c>
      <c r="L321" t="s">
        <v>73</v>
      </c>
      <c r="M321" t="s">
        <v>66</v>
      </c>
      <c r="N321">
        <v>4</v>
      </c>
      <c r="O321" t="s">
        <v>64</v>
      </c>
      <c r="P321" t="s">
        <v>54</v>
      </c>
      <c r="Q321" s="9">
        <v>45897</v>
      </c>
      <c r="R321" t="s">
        <v>83</v>
      </c>
      <c r="S321">
        <v>3</v>
      </c>
      <c r="T321">
        <v>1</v>
      </c>
      <c r="U321">
        <v>3</v>
      </c>
      <c r="V321" t="s">
        <v>64</v>
      </c>
      <c r="W321">
        <v>4</v>
      </c>
      <c r="X321" t="s">
        <v>54</v>
      </c>
      <c r="Y321" t="s">
        <v>68</v>
      </c>
      <c r="Z321" t="s">
        <v>190</v>
      </c>
      <c r="AA321">
        <v>18.600000000000001</v>
      </c>
      <c r="AB321" t="s">
        <v>61</v>
      </c>
      <c r="AC321" t="s">
        <v>181</v>
      </c>
      <c r="AD321" t="s">
        <v>196</v>
      </c>
      <c r="AE321" t="s">
        <v>243</v>
      </c>
    </row>
    <row r="322" spans="1:31" x14ac:dyDescent="0.3">
      <c r="A322" t="s">
        <v>834</v>
      </c>
      <c r="B322" t="s">
        <v>835</v>
      </c>
      <c r="C322" t="s">
        <v>54</v>
      </c>
      <c r="D322" t="s">
        <v>158</v>
      </c>
      <c r="E322" t="s">
        <v>63</v>
      </c>
      <c r="F322" s="9">
        <v>45778</v>
      </c>
      <c r="G322" s="9">
        <v>45634</v>
      </c>
      <c r="H322" t="s">
        <v>70</v>
      </c>
      <c r="I322" t="s">
        <v>93</v>
      </c>
      <c r="J322" t="s">
        <v>85</v>
      </c>
      <c r="K322" t="s">
        <v>54</v>
      </c>
      <c r="L322" t="s">
        <v>73</v>
      </c>
      <c r="M322" t="s">
        <v>56</v>
      </c>
      <c r="N322">
        <v>10</v>
      </c>
      <c r="O322" t="s">
        <v>64</v>
      </c>
      <c r="P322" t="s">
        <v>54</v>
      </c>
      <c r="Q322" s="9">
        <v>45725</v>
      </c>
      <c r="R322" t="s">
        <v>57</v>
      </c>
      <c r="S322">
        <v>2</v>
      </c>
      <c r="T322">
        <v>4</v>
      </c>
      <c r="U322">
        <v>5</v>
      </c>
      <c r="V322" t="s">
        <v>54</v>
      </c>
      <c r="W322">
        <v>2</v>
      </c>
      <c r="X322" t="s">
        <v>54</v>
      </c>
      <c r="Y322" t="s">
        <v>76</v>
      </c>
      <c r="Z322" t="s">
        <v>190</v>
      </c>
      <c r="AA322">
        <v>21.5</v>
      </c>
      <c r="AB322" t="s">
        <v>71</v>
      </c>
      <c r="AC322" t="s">
        <v>181</v>
      </c>
      <c r="AD322" t="s">
        <v>207</v>
      </c>
      <c r="AE322" t="s">
        <v>237</v>
      </c>
    </row>
    <row r="323" spans="1:31" x14ac:dyDescent="0.3">
      <c r="A323" t="s">
        <v>836</v>
      </c>
      <c r="B323" t="s">
        <v>706</v>
      </c>
      <c r="C323" t="s">
        <v>54</v>
      </c>
      <c r="D323" t="s">
        <v>158</v>
      </c>
      <c r="E323" t="s">
        <v>63</v>
      </c>
      <c r="F323" s="9">
        <v>45813</v>
      </c>
      <c r="G323" s="9">
        <v>45679</v>
      </c>
      <c r="H323" t="s">
        <v>70</v>
      </c>
      <c r="I323" t="s">
        <v>91</v>
      </c>
      <c r="J323" t="s">
        <v>69</v>
      </c>
      <c r="K323" t="s">
        <v>54</v>
      </c>
      <c r="L323" t="s">
        <v>65</v>
      </c>
      <c r="M323" t="s">
        <v>56</v>
      </c>
      <c r="N323">
        <v>10</v>
      </c>
      <c r="O323" t="s">
        <v>64</v>
      </c>
      <c r="P323" t="s">
        <v>54</v>
      </c>
      <c r="Q323" s="9">
        <v>45720</v>
      </c>
      <c r="R323" t="s">
        <v>57</v>
      </c>
      <c r="S323">
        <v>4</v>
      </c>
      <c r="T323">
        <v>1</v>
      </c>
      <c r="U323">
        <v>3</v>
      </c>
      <c r="V323" t="s">
        <v>54</v>
      </c>
      <c r="W323">
        <v>4</v>
      </c>
      <c r="X323" t="s">
        <v>64</v>
      </c>
      <c r="Y323" t="s">
        <v>190</v>
      </c>
      <c r="Z323" t="s">
        <v>190</v>
      </c>
      <c r="AA323">
        <v>25.6</v>
      </c>
      <c r="AB323" t="s">
        <v>71</v>
      </c>
      <c r="AC323" t="s">
        <v>181</v>
      </c>
      <c r="AD323" t="s">
        <v>207</v>
      </c>
      <c r="AE323" t="s">
        <v>192</v>
      </c>
    </row>
    <row r="324" spans="1:31" x14ac:dyDescent="0.3">
      <c r="A324" t="s">
        <v>837</v>
      </c>
      <c r="B324" t="s">
        <v>838</v>
      </c>
      <c r="C324" t="s">
        <v>54</v>
      </c>
      <c r="D324" t="s">
        <v>158</v>
      </c>
      <c r="E324" t="s">
        <v>53</v>
      </c>
      <c r="F324" s="9">
        <v>45869</v>
      </c>
      <c r="G324" s="9">
        <v>45762</v>
      </c>
      <c r="H324" t="s">
        <v>78</v>
      </c>
      <c r="I324" t="s">
        <v>97</v>
      </c>
      <c r="J324" t="s">
        <v>77</v>
      </c>
      <c r="K324" t="s">
        <v>54</v>
      </c>
      <c r="L324" t="s">
        <v>65</v>
      </c>
      <c r="M324" t="s">
        <v>56</v>
      </c>
      <c r="N324">
        <v>3</v>
      </c>
      <c r="O324" t="s">
        <v>64</v>
      </c>
      <c r="P324" t="s">
        <v>54</v>
      </c>
      <c r="Q324" s="9">
        <v>45778</v>
      </c>
      <c r="R324" t="s">
        <v>75</v>
      </c>
      <c r="S324">
        <v>4</v>
      </c>
      <c r="T324">
        <v>1</v>
      </c>
      <c r="U324">
        <v>3</v>
      </c>
      <c r="V324" t="s">
        <v>64</v>
      </c>
      <c r="W324">
        <v>3</v>
      </c>
      <c r="X324" t="s">
        <v>64</v>
      </c>
      <c r="Y324" t="s">
        <v>190</v>
      </c>
      <c r="Z324" t="s">
        <v>242</v>
      </c>
      <c r="AA324">
        <v>33.1</v>
      </c>
      <c r="AB324" t="s">
        <v>79</v>
      </c>
      <c r="AC324" t="s">
        <v>180</v>
      </c>
      <c r="AD324" t="s">
        <v>191</v>
      </c>
      <c r="AE324" t="s">
        <v>192</v>
      </c>
    </row>
    <row r="325" spans="1:31" x14ac:dyDescent="0.3">
      <c r="A325" t="s">
        <v>839</v>
      </c>
      <c r="B325" t="s">
        <v>840</v>
      </c>
      <c r="C325" t="s">
        <v>54</v>
      </c>
      <c r="D325" t="s">
        <v>158</v>
      </c>
      <c r="E325" t="s">
        <v>63</v>
      </c>
      <c r="F325" s="9">
        <v>45928</v>
      </c>
      <c r="G325" s="9">
        <v>45878</v>
      </c>
      <c r="H325" t="s">
        <v>50</v>
      </c>
      <c r="I325" t="s">
        <v>52</v>
      </c>
      <c r="J325" t="s">
        <v>90</v>
      </c>
      <c r="K325" t="s">
        <v>54</v>
      </c>
      <c r="L325" t="s">
        <v>65</v>
      </c>
      <c r="M325" t="s">
        <v>66</v>
      </c>
      <c r="N325">
        <v>3</v>
      </c>
      <c r="O325" t="s">
        <v>64</v>
      </c>
      <c r="P325" t="s">
        <v>54</v>
      </c>
      <c r="Q325" s="9">
        <v>45922</v>
      </c>
      <c r="R325" t="s">
        <v>57</v>
      </c>
      <c r="S325">
        <v>5</v>
      </c>
      <c r="T325">
        <v>2</v>
      </c>
      <c r="U325">
        <v>3</v>
      </c>
      <c r="V325" t="s">
        <v>54</v>
      </c>
      <c r="W325">
        <v>5</v>
      </c>
      <c r="X325" t="s">
        <v>64</v>
      </c>
      <c r="Y325" t="s">
        <v>190</v>
      </c>
      <c r="Z325" t="s">
        <v>190</v>
      </c>
      <c r="AA325">
        <v>25.8</v>
      </c>
      <c r="AB325" t="s">
        <v>51</v>
      </c>
      <c r="AC325" t="s">
        <v>181</v>
      </c>
      <c r="AD325" t="s">
        <v>207</v>
      </c>
      <c r="AE325" t="s">
        <v>192</v>
      </c>
    </row>
    <row r="326" spans="1:31" x14ac:dyDescent="0.3">
      <c r="A326" t="s">
        <v>841</v>
      </c>
      <c r="B326" t="s">
        <v>842</v>
      </c>
      <c r="C326" t="s">
        <v>54</v>
      </c>
      <c r="D326" t="s">
        <v>158</v>
      </c>
      <c r="E326" t="s">
        <v>63</v>
      </c>
      <c r="F326" s="9">
        <v>45748</v>
      </c>
      <c r="G326" s="9">
        <v>45628</v>
      </c>
      <c r="H326" t="s">
        <v>70</v>
      </c>
      <c r="I326" t="s">
        <v>95</v>
      </c>
      <c r="J326" t="s">
        <v>92</v>
      </c>
      <c r="K326" t="s">
        <v>54</v>
      </c>
      <c r="L326" t="s">
        <v>73</v>
      </c>
      <c r="M326" t="s">
        <v>74</v>
      </c>
      <c r="N326">
        <v>7</v>
      </c>
      <c r="O326" t="s">
        <v>64</v>
      </c>
      <c r="P326" t="s">
        <v>54</v>
      </c>
      <c r="Q326" s="9">
        <v>45746</v>
      </c>
      <c r="R326" t="s">
        <v>57</v>
      </c>
      <c r="S326">
        <v>3</v>
      </c>
      <c r="T326">
        <v>4</v>
      </c>
      <c r="U326">
        <v>5</v>
      </c>
      <c r="V326" t="s">
        <v>64</v>
      </c>
      <c r="W326">
        <v>2</v>
      </c>
      <c r="X326" t="s">
        <v>64</v>
      </c>
      <c r="Y326" t="s">
        <v>190</v>
      </c>
      <c r="Z326" t="s">
        <v>190</v>
      </c>
      <c r="AA326">
        <v>8.6</v>
      </c>
      <c r="AB326" t="s">
        <v>71</v>
      </c>
      <c r="AC326" t="s">
        <v>181</v>
      </c>
      <c r="AD326" t="s">
        <v>207</v>
      </c>
      <c r="AE326" t="s">
        <v>192</v>
      </c>
    </row>
    <row r="327" spans="1:31" x14ac:dyDescent="0.3">
      <c r="A327" t="s">
        <v>843</v>
      </c>
      <c r="B327" t="s">
        <v>844</v>
      </c>
      <c r="C327" t="s">
        <v>54</v>
      </c>
      <c r="D327" t="s">
        <v>158</v>
      </c>
      <c r="E327" t="s">
        <v>63</v>
      </c>
      <c r="F327" s="9">
        <v>45757</v>
      </c>
      <c r="G327" s="9">
        <v>45622</v>
      </c>
      <c r="H327" t="s">
        <v>78</v>
      </c>
      <c r="I327" t="s">
        <v>98</v>
      </c>
      <c r="J327" t="s">
        <v>69</v>
      </c>
      <c r="K327" t="s">
        <v>54</v>
      </c>
      <c r="L327" t="s">
        <v>81</v>
      </c>
      <c r="M327" t="s">
        <v>66</v>
      </c>
      <c r="N327">
        <v>5</v>
      </c>
      <c r="O327" t="s">
        <v>64</v>
      </c>
      <c r="P327" t="s">
        <v>64</v>
      </c>
      <c r="Q327" s="9"/>
      <c r="R327" t="s">
        <v>190</v>
      </c>
      <c r="V327" t="s">
        <v>190</v>
      </c>
      <c r="W327">
        <v>4</v>
      </c>
      <c r="X327" t="s">
        <v>64</v>
      </c>
      <c r="Y327" t="s">
        <v>190</v>
      </c>
      <c r="Z327" t="s">
        <v>190</v>
      </c>
      <c r="AA327">
        <v>21.3</v>
      </c>
      <c r="AB327" t="s">
        <v>79</v>
      </c>
      <c r="AC327" t="s">
        <v>181</v>
      </c>
      <c r="AD327" t="s">
        <v>192</v>
      </c>
      <c r="AE327" t="s">
        <v>192</v>
      </c>
    </row>
    <row r="328" spans="1:31" x14ac:dyDescent="0.3">
      <c r="A328" t="s">
        <v>845</v>
      </c>
      <c r="B328" t="s">
        <v>846</v>
      </c>
      <c r="C328" t="s">
        <v>54</v>
      </c>
      <c r="D328" t="s">
        <v>158</v>
      </c>
      <c r="E328" t="s">
        <v>63</v>
      </c>
      <c r="F328" s="9">
        <v>45828</v>
      </c>
      <c r="G328" s="9">
        <v>45684</v>
      </c>
      <c r="H328" t="s">
        <v>70</v>
      </c>
      <c r="I328" t="s">
        <v>93</v>
      </c>
      <c r="J328" t="s">
        <v>77</v>
      </c>
      <c r="K328" t="s">
        <v>54</v>
      </c>
      <c r="L328" t="s">
        <v>73</v>
      </c>
      <c r="M328" t="s">
        <v>66</v>
      </c>
      <c r="N328">
        <v>3</v>
      </c>
      <c r="O328" t="s">
        <v>64</v>
      </c>
      <c r="P328" t="s">
        <v>54</v>
      </c>
      <c r="Q328" s="9">
        <v>45771</v>
      </c>
      <c r="R328" t="s">
        <v>67</v>
      </c>
      <c r="S328">
        <v>5</v>
      </c>
      <c r="T328">
        <v>2</v>
      </c>
      <c r="U328">
        <v>2</v>
      </c>
      <c r="V328" t="s">
        <v>64</v>
      </c>
      <c r="W328">
        <v>4</v>
      </c>
      <c r="X328" t="s">
        <v>64</v>
      </c>
      <c r="Y328" t="s">
        <v>190</v>
      </c>
      <c r="Z328" t="s">
        <v>322</v>
      </c>
      <c r="AA328">
        <v>18</v>
      </c>
      <c r="AB328" t="s">
        <v>71</v>
      </c>
      <c r="AC328" t="s">
        <v>181</v>
      </c>
      <c r="AD328" t="s">
        <v>201</v>
      </c>
      <c r="AE328" t="s">
        <v>192</v>
      </c>
    </row>
    <row r="329" spans="1:31" x14ac:dyDescent="0.3">
      <c r="A329" t="s">
        <v>847</v>
      </c>
      <c r="B329" t="s">
        <v>848</v>
      </c>
      <c r="C329" t="s">
        <v>54</v>
      </c>
      <c r="D329" t="s">
        <v>158</v>
      </c>
      <c r="E329" t="s">
        <v>63</v>
      </c>
      <c r="F329" s="9">
        <v>45885</v>
      </c>
      <c r="G329" s="9">
        <v>45770</v>
      </c>
      <c r="H329" t="s">
        <v>60</v>
      </c>
      <c r="I329" t="s">
        <v>86</v>
      </c>
      <c r="J329" t="s">
        <v>94</v>
      </c>
      <c r="K329" t="s">
        <v>54</v>
      </c>
      <c r="L329" t="s">
        <v>65</v>
      </c>
      <c r="M329" t="s">
        <v>56</v>
      </c>
      <c r="N329">
        <v>9</v>
      </c>
      <c r="O329" t="s">
        <v>64</v>
      </c>
      <c r="P329" t="s">
        <v>64</v>
      </c>
      <c r="Q329" s="9"/>
      <c r="R329" t="s">
        <v>190</v>
      </c>
      <c r="V329" t="s">
        <v>190</v>
      </c>
      <c r="W329">
        <v>2</v>
      </c>
      <c r="X329" t="s">
        <v>64</v>
      </c>
      <c r="Y329" t="s">
        <v>190</v>
      </c>
      <c r="Z329" t="s">
        <v>190</v>
      </c>
      <c r="AA329">
        <v>18.600000000000001</v>
      </c>
      <c r="AB329" t="s">
        <v>61</v>
      </c>
      <c r="AC329" t="s">
        <v>181</v>
      </c>
      <c r="AD329" t="s">
        <v>192</v>
      </c>
      <c r="AE329" t="s">
        <v>192</v>
      </c>
    </row>
    <row r="330" spans="1:31" x14ac:dyDescent="0.3">
      <c r="A330" t="s">
        <v>849</v>
      </c>
      <c r="B330" t="s">
        <v>850</v>
      </c>
      <c r="C330" t="s">
        <v>54</v>
      </c>
      <c r="D330" t="s">
        <v>158</v>
      </c>
      <c r="E330" t="s">
        <v>190</v>
      </c>
      <c r="F330" s="9"/>
      <c r="G330" s="9"/>
      <c r="H330" t="s">
        <v>190</v>
      </c>
      <c r="I330" t="s">
        <v>190</v>
      </c>
      <c r="J330" t="s">
        <v>190</v>
      </c>
      <c r="K330" t="s">
        <v>64</v>
      </c>
      <c r="L330" t="s">
        <v>190</v>
      </c>
      <c r="M330" t="s">
        <v>190</v>
      </c>
      <c r="O330" t="s">
        <v>190</v>
      </c>
      <c r="P330" t="s">
        <v>190</v>
      </c>
      <c r="Q330" s="9"/>
      <c r="R330" t="s">
        <v>190</v>
      </c>
      <c r="V330" t="s">
        <v>190</v>
      </c>
      <c r="X330" t="s">
        <v>190</v>
      </c>
      <c r="Y330" t="s">
        <v>190</v>
      </c>
      <c r="Z330" t="s">
        <v>190</v>
      </c>
      <c r="AB330" t="s">
        <v>192</v>
      </c>
      <c r="AC330" t="s">
        <v>192</v>
      </c>
      <c r="AD330" t="s">
        <v>192</v>
      </c>
      <c r="AE330" t="s">
        <v>192</v>
      </c>
    </row>
    <row r="331" spans="1:31" x14ac:dyDescent="0.3">
      <c r="A331" t="s">
        <v>851</v>
      </c>
      <c r="B331" t="s">
        <v>852</v>
      </c>
      <c r="C331" t="s">
        <v>54</v>
      </c>
      <c r="D331" t="s">
        <v>158</v>
      </c>
      <c r="E331" t="s">
        <v>53</v>
      </c>
      <c r="F331" s="9">
        <v>45801</v>
      </c>
      <c r="G331" s="9">
        <v>45696</v>
      </c>
      <c r="H331" t="s">
        <v>70</v>
      </c>
      <c r="I331" t="s">
        <v>91</v>
      </c>
      <c r="J331" t="s">
        <v>85</v>
      </c>
      <c r="K331" t="s">
        <v>54</v>
      </c>
      <c r="L331" t="s">
        <v>55</v>
      </c>
      <c r="M331" t="s">
        <v>56</v>
      </c>
      <c r="N331">
        <v>3</v>
      </c>
      <c r="O331" t="s">
        <v>64</v>
      </c>
      <c r="P331" t="s">
        <v>54</v>
      </c>
      <c r="Q331" s="9">
        <v>45738</v>
      </c>
      <c r="R331" t="s">
        <v>83</v>
      </c>
      <c r="S331">
        <v>5</v>
      </c>
      <c r="T331">
        <v>2</v>
      </c>
      <c r="U331">
        <v>3</v>
      </c>
      <c r="V331" t="s">
        <v>54</v>
      </c>
      <c r="W331">
        <v>3</v>
      </c>
      <c r="X331" t="s">
        <v>54</v>
      </c>
      <c r="Y331" t="s">
        <v>58</v>
      </c>
      <c r="Z331" t="s">
        <v>190</v>
      </c>
      <c r="AA331">
        <v>9.5</v>
      </c>
      <c r="AB331" t="s">
        <v>71</v>
      </c>
      <c r="AC331" t="s">
        <v>180</v>
      </c>
      <c r="AD331" t="s">
        <v>196</v>
      </c>
      <c r="AE331" t="s">
        <v>222</v>
      </c>
    </row>
    <row r="332" spans="1:31" x14ac:dyDescent="0.3">
      <c r="A332" t="s">
        <v>853</v>
      </c>
      <c r="B332" t="s">
        <v>854</v>
      </c>
      <c r="C332" t="s">
        <v>54</v>
      </c>
      <c r="D332" t="s">
        <v>158</v>
      </c>
      <c r="E332" t="s">
        <v>63</v>
      </c>
      <c r="F332" s="9">
        <v>45763</v>
      </c>
      <c r="G332" s="9">
        <v>45718</v>
      </c>
      <c r="H332" t="s">
        <v>70</v>
      </c>
      <c r="I332" t="s">
        <v>95</v>
      </c>
      <c r="J332" t="s">
        <v>90</v>
      </c>
      <c r="K332" t="s">
        <v>54</v>
      </c>
      <c r="L332" t="s">
        <v>81</v>
      </c>
      <c r="M332" t="s">
        <v>56</v>
      </c>
      <c r="N332">
        <v>3</v>
      </c>
      <c r="O332" t="s">
        <v>64</v>
      </c>
      <c r="P332" t="s">
        <v>54</v>
      </c>
      <c r="Q332" s="9">
        <v>45731</v>
      </c>
      <c r="R332" t="s">
        <v>57</v>
      </c>
      <c r="S332">
        <v>4</v>
      </c>
      <c r="T332">
        <v>1</v>
      </c>
      <c r="U332">
        <v>2</v>
      </c>
      <c r="V332" t="s">
        <v>54</v>
      </c>
      <c r="W332">
        <v>3</v>
      </c>
      <c r="X332" t="s">
        <v>64</v>
      </c>
      <c r="Y332" t="s">
        <v>190</v>
      </c>
      <c r="Z332" t="s">
        <v>190</v>
      </c>
      <c r="AA332">
        <v>22.8</v>
      </c>
      <c r="AB332" t="s">
        <v>71</v>
      </c>
      <c r="AC332" t="s">
        <v>181</v>
      </c>
      <c r="AD332" t="s">
        <v>207</v>
      </c>
      <c r="AE332" t="s">
        <v>192</v>
      </c>
    </row>
    <row r="333" spans="1:31" x14ac:dyDescent="0.3">
      <c r="A333" t="s">
        <v>855</v>
      </c>
      <c r="B333" t="s">
        <v>856</v>
      </c>
      <c r="C333" t="s">
        <v>54</v>
      </c>
      <c r="D333" t="s">
        <v>158</v>
      </c>
      <c r="E333" t="s">
        <v>63</v>
      </c>
      <c r="F333" s="9">
        <v>45861</v>
      </c>
      <c r="G333" s="9">
        <v>45789</v>
      </c>
      <c r="H333" t="s">
        <v>70</v>
      </c>
      <c r="I333" t="s">
        <v>93</v>
      </c>
      <c r="J333" t="s">
        <v>59</v>
      </c>
      <c r="K333" t="s">
        <v>54</v>
      </c>
      <c r="L333" t="s">
        <v>81</v>
      </c>
      <c r="M333" t="s">
        <v>66</v>
      </c>
      <c r="N333">
        <v>4</v>
      </c>
      <c r="O333" t="s">
        <v>64</v>
      </c>
      <c r="P333" t="s">
        <v>54</v>
      </c>
      <c r="Q333" s="9">
        <v>45835</v>
      </c>
      <c r="R333" t="s">
        <v>83</v>
      </c>
      <c r="S333">
        <v>2</v>
      </c>
      <c r="T333">
        <v>2</v>
      </c>
      <c r="U333">
        <v>3</v>
      </c>
      <c r="V333" t="s">
        <v>64</v>
      </c>
      <c r="W333">
        <v>5</v>
      </c>
      <c r="X333" t="s">
        <v>64</v>
      </c>
      <c r="Y333" t="s">
        <v>190</v>
      </c>
      <c r="Z333" t="s">
        <v>190</v>
      </c>
      <c r="AA333">
        <v>17.5</v>
      </c>
      <c r="AB333" t="s">
        <v>71</v>
      </c>
      <c r="AC333" t="s">
        <v>181</v>
      </c>
      <c r="AD333" t="s">
        <v>196</v>
      </c>
      <c r="AE333" t="s">
        <v>192</v>
      </c>
    </row>
    <row r="334" spans="1:31" x14ac:dyDescent="0.3">
      <c r="A334" t="s">
        <v>857</v>
      </c>
      <c r="B334" t="s">
        <v>858</v>
      </c>
      <c r="C334" t="s">
        <v>54</v>
      </c>
      <c r="D334" t="s">
        <v>158</v>
      </c>
      <c r="E334" t="s">
        <v>63</v>
      </c>
      <c r="F334" s="9">
        <v>45765</v>
      </c>
      <c r="G334" s="9">
        <v>45650</v>
      </c>
      <c r="H334" t="s">
        <v>70</v>
      </c>
      <c r="I334" t="s">
        <v>91</v>
      </c>
      <c r="J334" t="s">
        <v>94</v>
      </c>
      <c r="K334" t="s">
        <v>54</v>
      </c>
      <c r="L334" t="s">
        <v>55</v>
      </c>
      <c r="M334" t="s">
        <v>56</v>
      </c>
      <c r="N334">
        <v>4</v>
      </c>
      <c r="O334" t="s">
        <v>64</v>
      </c>
      <c r="P334" t="s">
        <v>64</v>
      </c>
      <c r="Q334" s="9"/>
      <c r="R334" t="s">
        <v>190</v>
      </c>
      <c r="V334" t="s">
        <v>190</v>
      </c>
      <c r="W334">
        <v>3</v>
      </c>
      <c r="X334" t="s">
        <v>54</v>
      </c>
      <c r="Y334" t="s">
        <v>58</v>
      </c>
      <c r="Z334" t="s">
        <v>190</v>
      </c>
      <c r="AA334">
        <v>4.2</v>
      </c>
      <c r="AB334" t="s">
        <v>71</v>
      </c>
      <c r="AC334" t="s">
        <v>181</v>
      </c>
      <c r="AD334" t="s">
        <v>192</v>
      </c>
      <c r="AE334" t="s">
        <v>222</v>
      </c>
    </row>
    <row r="335" spans="1:31" x14ac:dyDescent="0.3">
      <c r="A335" t="s">
        <v>859</v>
      </c>
      <c r="B335" t="s">
        <v>860</v>
      </c>
      <c r="C335" t="s">
        <v>54</v>
      </c>
      <c r="D335" t="s">
        <v>158</v>
      </c>
      <c r="E335" t="s">
        <v>53</v>
      </c>
      <c r="F335" s="9">
        <v>45891</v>
      </c>
      <c r="G335" s="9">
        <v>45803</v>
      </c>
      <c r="H335" t="s">
        <v>50</v>
      </c>
      <c r="I335" t="s">
        <v>62</v>
      </c>
      <c r="J335" t="s">
        <v>77</v>
      </c>
      <c r="K335" t="s">
        <v>54</v>
      </c>
      <c r="L335" t="s">
        <v>65</v>
      </c>
      <c r="M335" t="s">
        <v>56</v>
      </c>
      <c r="N335">
        <v>5</v>
      </c>
      <c r="O335" t="s">
        <v>64</v>
      </c>
      <c r="P335" t="s">
        <v>54</v>
      </c>
      <c r="Q335" s="9">
        <v>45861</v>
      </c>
      <c r="R335" t="s">
        <v>67</v>
      </c>
      <c r="S335">
        <v>1</v>
      </c>
      <c r="T335">
        <v>3</v>
      </c>
      <c r="U335">
        <v>5</v>
      </c>
      <c r="V335" t="s">
        <v>54</v>
      </c>
      <c r="W335">
        <v>1</v>
      </c>
      <c r="X335" t="s">
        <v>54</v>
      </c>
      <c r="Y335" t="s">
        <v>76</v>
      </c>
      <c r="Z335" t="s">
        <v>190</v>
      </c>
      <c r="AA335">
        <v>25.4</v>
      </c>
      <c r="AB335" t="s">
        <v>51</v>
      </c>
      <c r="AC335" t="s">
        <v>180</v>
      </c>
      <c r="AD335" t="s">
        <v>201</v>
      </c>
      <c r="AE335" t="s">
        <v>237</v>
      </c>
    </row>
    <row r="336" spans="1:31" x14ac:dyDescent="0.3">
      <c r="A336" t="s">
        <v>861</v>
      </c>
      <c r="B336" t="s">
        <v>862</v>
      </c>
      <c r="C336" t="s">
        <v>54</v>
      </c>
      <c r="D336" t="s">
        <v>158</v>
      </c>
      <c r="E336" t="s">
        <v>63</v>
      </c>
      <c r="F336" s="9">
        <v>45898</v>
      </c>
      <c r="G336" s="9">
        <v>45760</v>
      </c>
      <c r="H336" t="s">
        <v>50</v>
      </c>
      <c r="I336" t="s">
        <v>62</v>
      </c>
      <c r="J336" t="s">
        <v>85</v>
      </c>
      <c r="K336" t="s">
        <v>54</v>
      </c>
      <c r="L336" t="s">
        <v>73</v>
      </c>
      <c r="M336" t="s">
        <v>66</v>
      </c>
      <c r="N336">
        <v>5</v>
      </c>
      <c r="O336" t="s">
        <v>64</v>
      </c>
      <c r="P336" t="s">
        <v>54</v>
      </c>
      <c r="Q336" s="9">
        <v>45798</v>
      </c>
      <c r="R336" t="s">
        <v>75</v>
      </c>
      <c r="S336">
        <v>4</v>
      </c>
      <c r="T336">
        <v>2</v>
      </c>
      <c r="U336">
        <v>3</v>
      </c>
      <c r="V336" t="s">
        <v>54</v>
      </c>
      <c r="W336">
        <v>1</v>
      </c>
      <c r="X336" t="s">
        <v>64</v>
      </c>
      <c r="Y336" t="s">
        <v>190</v>
      </c>
      <c r="Z336" t="s">
        <v>190</v>
      </c>
      <c r="AA336">
        <v>7.1</v>
      </c>
      <c r="AB336" t="s">
        <v>51</v>
      </c>
      <c r="AC336" t="s">
        <v>181</v>
      </c>
      <c r="AD336" t="s">
        <v>191</v>
      </c>
      <c r="AE336" t="s">
        <v>192</v>
      </c>
    </row>
    <row r="337" spans="1:31" x14ac:dyDescent="0.3">
      <c r="A337" t="s">
        <v>863</v>
      </c>
      <c r="B337" t="s">
        <v>864</v>
      </c>
      <c r="C337" t="s">
        <v>54</v>
      </c>
      <c r="D337" t="s">
        <v>158</v>
      </c>
      <c r="E337" t="s">
        <v>63</v>
      </c>
      <c r="F337" s="9">
        <v>45781</v>
      </c>
      <c r="G337" s="9">
        <v>45639</v>
      </c>
      <c r="H337" t="s">
        <v>60</v>
      </c>
      <c r="I337" t="s">
        <v>80</v>
      </c>
      <c r="J337" t="s">
        <v>77</v>
      </c>
      <c r="K337" t="s">
        <v>54</v>
      </c>
      <c r="L337" t="s">
        <v>81</v>
      </c>
      <c r="M337" t="s">
        <v>66</v>
      </c>
      <c r="N337">
        <v>7</v>
      </c>
      <c r="O337" t="s">
        <v>64</v>
      </c>
      <c r="P337" t="s">
        <v>64</v>
      </c>
      <c r="Q337" s="9"/>
      <c r="R337" t="s">
        <v>190</v>
      </c>
      <c r="V337" t="s">
        <v>190</v>
      </c>
      <c r="W337">
        <v>5</v>
      </c>
      <c r="X337" t="s">
        <v>54</v>
      </c>
      <c r="Y337" t="s">
        <v>58</v>
      </c>
      <c r="Z337" t="s">
        <v>190</v>
      </c>
      <c r="AA337">
        <v>5.4</v>
      </c>
      <c r="AB337" t="s">
        <v>61</v>
      </c>
      <c r="AC337" t="s">
        <v>181</v>
      </c>
      <c r="AD337" t="s">
        <v>192</v>
      </c>
      <c r="AE337" t="s">
        <v>222</v>
      </c>
    </row>
    <row r="338" spans="1:31" x14ac:dyDescent="0.3">
      <c r="A338" t="s">
        <v>865</v>
      </c>
      <c r="B338" t="s">
        <v>866</v>
      </c>
      <c r="C338" t="s">
        <v>54</v>
      </c>
      <c r="D338" t="s">
        <v>158</v>
      </c>
      <c r="E338" t="s">
        <v>63</v>
      </c>
      <c r="F338" s="9">
        <v>45858</v>
      </c>
      <c r="G338" s="9">
        <v>45711</v>
      </c>
      <c r="H338" t="s">
        <v>60</v>
      </c>
      <c r="I338" t="s">
        <v>86</v>
      </c>
      <c r="J338" t="s">
        <v>92</v>
      </c>
      <c r="K338" t="s">
        <v>54</v>
      </c>
      <c r="L338" t="s">
        <v>65</v>
      </c>
      <c r="M338" t="s">
        <v>66</v>
      </c>
      <c r="N338">
        <v>5</v>
      </c>
      <c r="O338" t="s">
        <v>64</v>
      </c>
      <c r="P338" t="s">
        <v>54</v>
      </c>
      <c r="Q338" s="9">
        <v>45794</v>
      </c>
      <c r="R338" t="s">
        <v>75</v>
      </c>
      <c r="S338">
        <v>4</v>
      </c>
      <c r="T338">
        <v>4</v>
      </c>
      <c r="U338">
        <v>5</v>
      </c>
      <c r="V338" t="s">
        <v>54</v>
      </c>
      <c r="W338">
        <v>2</v>
      </c>
      <c r="X338" t="s">
        <v>64</v>
      </c>
      <c r="Y338" t="s">
        <v>190</v>
      </c>
      <c r="Z338" t="s">
        <v>190</v>
      </c>
      <c r="AA338">
        <v>21.4</v>
      </c>
      <c r="AB338" t="s">
        <v>61</v>
      </c>
      <c r="AC338" t="s">
        <v>181</v>
      </c>
      <c r="AD338" t="s">
        <v>191</v>
      </c>
      <c r="AE338" t="s">
        <v>192</v>
      </c>
    </row>
    <row r="339" spans="1:31" x14ac:dyDescent="0.3">
      <c r="A339" t="s">
        <v>867</v>
      </c>
      <c r="B339" t="s">
        <v>868</v>
      </c>
      <c r="C339" t="s">
        <v>54</v>
      </c>
      <c r="D339" t="s">
        <v>158</v>
      </c>
      <c r="E339" t="s">
        <v>63</v>
      </c>
      <c r="F339" s="9">
        <v>45794</v>
      </c>
      <c r="G339" s="9">
        <v>45694</v>
      </c>
      <c r="H339" t="s">
        <v>50</v>
      </c>
      <c r="I339" t="s">
        <v>62</v>
      </c>
      <c r="J339" t="s">
        <v>77</v>
      </c>
      <c r="K339" t="s">
        <v>54</v>
      </c>
      <c r="L339" t="s">
        <v>65</v>
      </c>
      <c r="M339" t="s">
        <v>56</v>
      </c>
      <c r="N339">
        <v>8</v>
      </c>
      <c r="O339" t="s">
        <v>64</v>
      </c>
      <c r="P339" t="s">
        <v>54</v>
      </c>
      <c r="Q339" s="9">
        <v>45766</v>
      </c>
      <c r="R339" t="s">
        <v>75</v>
      </c>
      <c r="S339">
        <v>5</v>
      </c>
      <c r="T339">
        <v>1</v>
      </c>
      <c r="U339">
        <v>2</v>
      </c>
      <c r="V339" t="s">
        <v>54</v>
      </c>
      <c r="W339">
        <v>2</v>
      </c>
      <c r="X339" t="s">
        <v>54</v>
      </c>
      <c r="Y339" t="s">
        <v>68</v>
      </c>
      <c r="Z339" t="s">
        <v>190</v>
      </c>
      <c r="AA339">
        <v>19</v>
      </c>
      <c r="AB339" t="s">
        <v>51</v>
      </c>
      <c r="AC339" t="s">
        <v>181</v>
      </c>
      <c r="AD339" t="s">
        <v>191</v>
      </c>
      <c r="AE339" t="s">
        <v>243</v>
      </c>
    </row>
    <row r="340" spans="1:31" x14ac:dyDescent="0.3">
      <c r="A340" t="s">
        <v>869</v>
      </c>
      <c r="B340" t="s">
        <v>870</v>
      </c>
      <c r="C340" t="s">
        <v>54</v>
      </c>
      <c r="D340" t="s">
        <v>158</v>
      </c>
      <c r="E340" t="s">
        <v>53</v>
      </c>
      <c r="F340" s="9">
        <v>45893</v>
      </c>
      <c r="G340" s="9">
        <v>45745</v>
      </c>
      <c r="H340" t="s">
        <v>60</v>
      </c>
      <c r="I340" t="s">
        <v>86</v>
      </c>
      <c r="J340" t="s">
        <v>90</v>
      </c>
      <c r="K340" t="s">
        <v>54</v>
      </c>
      <c r="L340" t="s">
        <v>73</v>
      </c>
      <c r="M340" t="s">
        <v>66</v>
      </c>
      <c r="N340">
        <v>4</v>
      </c>
      <c r="O340" t="s">
        <v>64</v>
      </c>
      <c r="P340" t="s">
        <v>54</v>
      </c>
      <c r="Q340" s="9">
        <v>45865</v>
      </c>
      <c r="R340" t="s">
        <v>57</v>
      </c>
      <c r="S340">
        <v>3</v>
      </c>
      <c r="T340">
        <v>4</v>
      </c>
      <c r="U340">
        <v>5</v>
      </c>
      <c r="V340" t="s">
        <v>54</v>
      </c>
      <c r="W340">
        <v>4</v>
      </c>
      <c r="X340" t="s">
        <v>64</v>
      </c>
      <c r="Y340" t="s">
        <v>190</v>
      </c>
      <c r="Z340" t="s">
        <v>405</v>
      </c>
      <c r="AA340">
        <v>23</v>
      </c>
      <c r="AB340" t="s">
        <v>61</v>
      </c>
      <c r="AC340" t="s">
        <v>180</v>
      </c>
      <c r="AD340" t="s">
        <v>207</v>
      </c>
      <c r="AE340" t="s">
        <v>192</v>
      </c>
    </row>
    <row r="341" spans="1:31" x14ac:dyDescent="0.3">
      <c r="A341" t="s">
        <v>871</v>
      </c>
      <c r="B341" t="s">
        <v>872</v>
      </c>
      <c r="C341" t="s">
        <v>54</v>
      </c>
      <c r="D341" t="s">
        <v>158</v>
      </c>
      <c r="E341" t="s">
        <v>63</v>
      </c>
      <c r="F341" s="9">
        <v>45904</v>
      </c>
      <c r="G341" s="9">
        <v>45767</v>
      </c>
      <c r="H341" t="s">
        <v>50</v>
      </c>
      <c r="I341" t="s">
        <v>52</v>
      </c>
      <c r="J341" t="s">
        <v>94</v>
      </c>
      <c r="K341" t="s">
        <v>54</v>
      </c>
      <c r="L341" t="s">
        <v>55</v>
      </c>
      <c r="M341" t="s">
        <v>56</v>
      </c>
      <c r="N341">
        <v>4</v>
      </c>
      <c r="O341" t="s">
        <v>64</v>
      </c>
      <c r="P341" t="s">
        <v>54</v>
      </c>
      <c r="Q341" s="9">
        <v>45866</v>
      </c>
      <c r="R341" t="s">
        <v>57</v>
      </c>
      <c r="S341">
        <v>5</v>
      </c>
      <c r="T341">
        <v>2</v>
      </c>
      <c r="U341">
        <v>3</v>
      </c>
      <c r="V341" t="s">
        <v>54</v>
      </c>
      <c r="W341">
        <v>4</v>
      </c>
      <c r="X341" t="s">
        <v>54</v>
      </c>
      <c r="Y341" t="s">
        <v>68</v>
      </c>
      <c r="Z341" t="s">
        <v>358</v>
      </c>
      <c r="AA341">
        <v>15.8</v>
      </c>
      <c r="AB341" t="s">
        <v>51</v>
      </c>
      <c r="AC341" t="s">
        <v>181</v>
      </c>
      <c r="AD341" t="s">
        <v>207</v>
      </c>
      <c r="AE341" t="s">
        <v>243</v>
      </c>
    </row>
    <row r="342" spans="1:31" x14ac:dyDescent="0.3">
      <c r="A342" t="s">
        <v>873</v>
      </c>
      <c r="B342" t="s">
        <v>874</v>
      </c>
      <c r="C342" t="s">
        <v>54</v>
      </c>
      <c r="D342" t="s">
        <v>158</v>
      </c>
      <c r="E342" t="s">
        <v>63</v>
      </c>
      <c r="F342" s="9">
        <v>45813</v>
      </c>
      <c r="G342" s="9">
        <v>45735</v>
      </c>
      <c r="H342" t="s">
        <v>50</v>
      </c>
      <c r="I342" t="s">
        <v>72</v>
      </c>
      <c r="J342" t="s">
        <v>77</v>
      </c>
      <c r="K342" t="s">
        <v>54</v>
      </c>
      <c r="L342" t="s">
        <v>73</v>
      </c>
      <c r="M342" t="s">
        <v>66</v>
      </c>
      <c r="N342">
        <v>5</v>
      </c>
      <c r="O342" t="s">
        <v>64</v>
      </c>
      <c r="P342" t="s">
        <v>64</v>
      </c>
      <c r="Q342" s="9"/>
      <c r="R342" t="s">
        <v>190</v>
      </c>
      <c r="V342" t="s">
        <v>190</v>
      </c>
      <c r="W342">
        <v>3</v>
      </c>
      <c r="X342" t="s">
        <v>64</v>
      </c>
      <c r="Y342" t="s">
        <v>190</v>
      </c>
      <c r="Z342" t="s">
        <v>190</v>
      </c>
      <c r="AA342">
        <v>22.4</v>
      </c>
      <c r="AB342" t="s">
        <v>51</v>
      </c>
      <c r="AC342" t="s">
        <v>181</v>
      </c>
      <c r="AD342" t="s">
        <v>192</v>
      </c>
      <c r="AE342" t="s">
        <v>192</v>
      </c>
    </row>
    <row r="343" spans="1:31" x14ac:dyDescent="0.3">
      <c r="A343" t="s">
        <v>875</v>
      </c>
      <c r="B343" t="s">
        <v>876</v>
      </c>
      <c r="C343" t="s">
        <v>54</v>
      </c>
      <c r="D343" t="s">
        <v>158</v>
      </c>
      <c r="E343" t="s">
        <v>63</v>
      </c>
      <c r="F343" s="9">
        <v>45763</v>
      </c>
      <c r="G343" s="9">
        <v>45698</v>
      </c>
      <c r="H343" t="s">
        <v>70</v>
      </c>
      <c r="I343" t="s">
        <v>91</v>
      </c>
      <c r="J343" t="s">
        <v>88</v>
      </c>
      <c r="K343" t="s">
        <v>54</v>
      </c>
      <c r="L343" t="s">
        <v>65</v>
      </c>
      <c r="M343" t="s">
        <v>56</v>
      </c>
      <c r="N343">
        <v>5</v>
      </c>
      <c r="O343" t="s">
        <v>64</v>
      </c>
      <c r="P343" t="s">
        <v>54</v>
      </c>
      <c r="Q343" s="9">
        <v>45723</v>
      </c>
      <c r="R343" t="s">
        <v>75</v>
      </c>
      <c r="S343">
        <v>4</v>
      </c>
      <c r="T343">
        <v>1</v>
      </c>
      <c r="U343">
        <v>2</v>
      </c>
      <c r="V343" t="s">
        <v>54</v>
      </c>
      <c r="W343">
        <v>4</v>
      </c>
      <c r="X343" t="s">
        <v>54</v>
      </c>
      <c r="Y343" t="s">
        <v>76</v>
      </c>
      <c r="Z343" t="s">
        <v>405</v>
      </c>
      <c r="AA343">
        <v>28.3</v>
      </c>
      <c r="AB343" t="s">
        <v>71</v>
      </c>
      <c r="AC343" t="s">
        <v>181</v>
      </c>
      <c r="AD343" t="s">
        <v>191</v>
      </c>
      <c r="AE343" t="s">
        <v>237</v>
      </c>
    </row>
    <row r="344" spans="1:31" x14ac:dyDescent="0.3">
      <c r="A344" t="s">
        <v>877</v>
      </c>
      <c r="B344" t="s">
        <v>878</v>
      </c>
      <c r="C344" t="s">
        <v>54</v>
      </c>
      <c r="D344" t="s">
        <v>158</v>
      </c>
      <c r="E344" t="s">
        <v>53</v>
      </c>
      <c r="F344" s="9">
        <v>45910</v>
      </c>
      <c r="G344" s="9">
        <v>45813</v>
      </c>
      <c r="H344" t="s">
        <v>50</v>
      </c>
      <c r="I344" t="s">
        <v>52</v>
      </c>
      <c r="J344" t="s">
        <v>90</v>
      </c>
      <c r="K344" t="s">
        <v>54</v>
      </c>
      <c r="L344" t="s">
        <v>81</v>
      </c>
      <c r="M344" t="s">
        <v>66</v>
      </c>
      <c r="N344">
        <v>8</v>
      </c>
      <c r="O344" t="s">
        <v>64</v>
      </c>
      <c r="P344" t="s">
        <v>54</v>
      </c>
      <c r="Q344" s="9">
        <v>45906</v>
      </c>
      <c r="R344" t="s">
        <v>75</v>
      </c>
      <c r="S344">
        <v>4</v>
      </c>
      <c r="T344">
        <v>4</v>
      </c>
      <c r="U344">
        <v>5</v>
      </c>
      <c r="V344" t="s">
        <v>54</v>
      </c>
      <c r="W344">
        <v>3</v>
      </c>
      <c r="X344" t="s">
        <v>64</v>
      </c>
      <c r="Y344" t="s">
        <v>190</v>
      </c>
      <c r="Z344" t="s">
        <v>190</v>
      </c>
      <c r="AA344">
        <v>20.5</v>
      </c>
      <c r="AB344" t="s">
        <v>51</v>
      </c>
      <c r="AC344" t="s">
        <v>180</v>
      </c>
      <c r="AD344" t="s">
        <v>191</v>
      </c>
      <c r="AE344" t="s">
        <v>192</v>
      </c>
    </row>
    <row r="345" spans="1:31" x14ac:dyDescent="0.3">
      <c r="A345" t="s">
        <v>879</v>
      </c>
      <c r="B345" t="s">
        <v>880</v>
      </c>
      <c r="C345" t="s">
        <v>54</v>
      </c>
      <c r="D345" t="s">
        <v>158</v>
      </c>
      <c r="E345" t="s">
        <v>63</v>
      </c>
      <c r="F345" s="9">
        <v>45892</v>
      </c>
      <c r="G345" s="9">
        <v>45839</v>
      </c>
      <c r="H345" t="s">
        <v>70</v>
      </c>
      <c r="I345" t="s">
        <v>95</v>
      </c>
      <c r="J345" t="s">
        <v>69</v>
      </c>
      <c r="K345" t="s">
        <v>54</v>
      </c>
      <c r="L345" t="s">
        <v>81</v>
      </c>
      <c r="M345" t="s">
        <v>56</v>
      </c>
      <c r="N345">
        <v>4</v>
      </c>
      <c r="O345" t="s">
        <v>64</v>
      </c>
      <c r="P345" t="s">
        <v>54</v>
      </c>
      <c r="Q345" s="9">
        <v>45855</v>
      </c>
      <c r="R345" t="s">
        <v>57</v>
      </c>
      <c r="S345">
        <v>4</v>
      </c>
      <c r="T345">
        <v>4</v>
      </c>
      <c r="U345">
        <v>4</v>
      </c>
      <c r="V345" t="s">
        <v>54</v>
      </c>
      <c r="W345">
        <v>3</v>
      </c>
      <c r="X345" t="s">
        <v>64</v>
      </c>
      <c r="Y345" t="s">
        <v>190</v>
      </c>
      <c r="Z345" t="s">
        <v>190</v>
      </c>
      <c r="AA345">
        <v>13.6</v>
      </c>
      <c r="AB345" t="s">
        <v>71</v>
      </c>
      <c r="AC345" t="s">
        <v>181</v>
      </c>
      <c r="AD345" t="s">
        <v>207</v>
      </c>
      <c r="AE345" t="s">
        <v>192</v>
      </c>
    </row>
    <row r="346" spans="1:31" x14ac:dyDescent="0.3">
      <c r="A346" t="s">
        <v>881</v>
      </c>
      <c r="B346" t="s">
        <v>882</v>
      </c>
      <c r="C346" t="s">
        <v>54</v>
      </c>
      <c r="D346" t="s">
        <v>158</v>
      </c>
      <c r="E346" t="s">
        <v>63</v>
      </c>
      <c r="F346" s="9">
        <v>45799</v>
      </c>
      <c r="G346" s="9">
        <v>45695</v>
      </c>
      <c r="H346" t="s">
        <v>50</v>
      </c>
      <c r="I346" t="s">
        <v>62</v>
      </c>
      <c r="J346" t="s">
        <v>94</v>
      </c>
      <c r="K346" t="s">
        <v>54</v>
      </c>
      <c r="L346" t="s">
        <v>65</v>
      </c>
      <c r="M346" t="s">
        <v>66</v>
      </c>
      <c r="N346">
        <v>6</v>
      </c>
      <c r="O346" t="s">
        <v>64</v>
      </c>
      <c r="P346" t="s">
        <v>64</v>
      </c>
      <c r="Q346" s="9"/>
      <c r="R346" t="s">
        <v>190</v>
      </c>
      <c r="V346" t="s">
        <v>190</v>
      </c>
      <c r="W346">
        <v>4</v>
      </c>
      <c r="X346" t="s">
        <v>64</v>
      </c>
      <c r="Y346" t="s">
        <v>190</v>
      </c>
      <c r="Z346" t="s">
        <v>190</v>
      </c>
      <c r="AA346">
        <v>15.6</v>
      </c>
      <c r="AB346" t="s">
        <v>51</v>
      </c>
      <c r="AC346" t="s">
        <v>181</v>
      </c>
      <c r="AD346" t="s">
        <v>192</v>
      </c>
      <c r="AE346" t="s">
        <v>192</v>
      </c>
    </row>
    <row r="347" spans="1:31" x14ac:dyDescent="0.3">
      <c r="A347" t="s">
        <v>883</v>
      </c>
      <c r="B347" t="s">
        <v>505</v>
      </c>
      <c r="C347" t="s">
        <v>54</v>
      </c>
      <c r="D347" t="s">
        <v>158</v>
      </c>
      <c r="E347" t="s">
        <v>53</v>
      </c>
      <c r="F347" s="9">
        <v>45915</v>
      </c>
      <c r="G347" s="9">
        <v>45804</v>
      </c>
      <c r="H347" t="s">
        <v>50</v>
      </c>
      <c r="I347" t="s">
        <v>62</v>
      </c>
      <c r="J347" t="s">
        <v>94</v>
      </c>
      <c r="K347" t="s">
        <v>54</v>
      </c>
      <c r="L347" t="s">
        <v>73</v>
      </c>
      <c r="M347" t="s">
        <v>56</v>
      </c>
      <c r="N347">
        <v>3</v>
      </c>
      <c r="O347" t="s">
        <v>64</v>
      </c>
      <c r="P347" t="s">
        <v>54</v>
      </c>
      <c r="Q347" s="9">
        <v>45863</v>
      </c>
      <c r="R347" t="s">
        <v>83</v>
      </c>
      <c r="S347">
        <v>4</v>
      </c>
      <c r="T347">
        <v>3</v>
      </c>
      <c r="U347">
        <v>4</v>
      </c>
      <c r="V347" t="s">
        <v>64</v>
      </c>
      <c r="W347">
        <v>3</v>
      </c>
      <c r="X347" t="s">
        <v>64</v>
      </c>
      <c r="Y347" t="s">
        <v>190</v>
      </c>
      <c r="Z347" t="s">
        <v>190</v>
      </c>
      <c r="AA347">
        <v>21.4</v>
      </c>
      <c r="AB347" t="s">
        <v>51</v>
      </c>
      <c r="AC347" t="s">
        <v>180</v>
      </c>
      <c r="AD347" t="s">
        <v>196</v>
      </c>
      <c r="AE347" t="s">
        <v>192</v>
      </c>
    </row>
    <row r="348" spans="1:31" x14ac:dyDescent="0.3">
      <c r="A348" t="s">
        <v>884</v>
      </c>
      <c r="B348" t="s">
        <v>885</v>
      </c>
      <c r="C348" t="s">
        <v>54</v>
      </c>
      <c r="D348" t="s">
        <v>158</v>
      </c>
      <c r="E348" t="s">
        <v>63</v>
      </c>
      <c r="F348" s="9">
        <v>45895</v>
      </c>
      <c r="G348" s="9">
        <v>45826</v>
      </c>
      <c r="H348" t="s">
        <v>50</v>
      </c>
      <c r="I348" t="s">
        <v>62</v>
      </c>
      <c r="J348" t="s">
        <v>77</v>
      </c>
      <c r="K348" t="s">
        <v>54</v>
      </c>
      <c r="L348" t="s">
        <v>55</v>
      </c>
      <c r="M348" t="s">
        <v>66</v>
      </c>
      <c r="N348">
        <v>5</v>
      </c>
      <c r="O348" t="s">
        <v>64</v>
      </c>
      <c r="P348" t="s">
        <v>64</v>
      </c>
      <c r="Q348" s="9"/>
      <c r="R348" t="s">
        <v>190</v>
      </c>
      <c r="V348" t="s">
        <v>190</v>
      </c>
      <c r="W348">
        <v>4</v>
      </c>
      <c r="X348" t="s">
        <v>64</v>
      </c>
      <c r="Y348" t="s">
        <v>190</v>
      </c>
      <c r="Z348" t="s">
        <v>190</v>
      </c>
      <c r="AA348">
        <v>23.5</v>
      </c>
      <c r="AB348" t="s">
        <v>51</v>
      </c>
      <c r="AC348" t="s">
        <v>181</v>
      </c>
      <c r="AD348" t="s">
        <v>192</v>
      </c>
      <c r="AE348" t="s">
        <v>192</v>
      </c>
    </row>
    <row r="349" spans="1:31" x14ac:dyDescent="0.3">
      <c r="A349" t="s">
        <v>886</v>
      </c>
      <c r="B349" t="s">
        <v>887</v>
      </c>
      <c r="C349" t="s">
        <v>54</v>
      </c>
      <c r="D349" t="s">
        <v>158</v>
      </c>
      <c r="E349" t="s">
        <v>53</v>
      </c>
      <c r="F349" s="9">
        <v>45809</v>
      </c>
      <c r="G349" s="9">
        <v>45709</v>
      </c>
      <c r="H349" t="s">
        <v>78</v>
      </c>
      <c r="I349" t="s">
        <v>98</v>
      </c>
      <c r="J349" t="s">
        <v>88</v>
      </c>
      <c r="K349" t="s">
        <v>54</v>
      </c>
      <c r="L349" t="s">
        <v>65</v>
      </c>
      <c r="M349" t="s">
        <v>56</v>
      </c>
      <c r="N349">
        <v>5</v>
      </c>
      <c r="O349" t="s">
        <v>64</v>
      </c>
      <c r="P349" t="s">
        <v>54</v>
      </c>
      <c r="Q349" s="9">
        <v>45796</v>
      </c>
      <c r="R349" t="s">
        <v>57</v>
      </c>
      <c r="S349">
        <v>4</v>
      </c>
      <c r="T349">
        <v>1</v>
      </c>
      <c r="U349">
        <v>2</v>
      </c>
      <c r="V349" t="s">
        <v>54</v>
      </c>
      <c r="W349">
        <v>5</v>
      </c>
      <c r="X349" t="s">
        <v>54</v>
      </c>
      <c r="Y349" t="s">
        <v>58</v>
      </c>
      <c r="Z349" t="s">
        <v>190</v>
      </c>
      <c r="AA349">
        <v>16.7</v>
      </c>
      <c r="AB349" t="s">
        <v>79</v>
      </c>
      <c r="AC349" t="s">
        <v>180</v>
      </c>
      <c r="AD349" t="s">
        <v>207</v>
      </c>
      <c r="AE349" t="s">
        <v>222</v>
      </c>
    </row>
    <row r="350" spans="1:31" x14ac:dyDescent="0.3">
      <c r="A350" t="s">
        <v>888</v>
      </c>
      <c r="B350" t="s">
        <v>889</v>
      </c>
      <c r="C350" t="s">
        <v>54</v>
      </c>
      <c r="D350" t="s">
        <v>158</v>
      </c>
      <c r="E350" t="s">
        <v>63</v>
      </c>
      <c r="F350" s="9">
        <v>45851</v>
      </c>
      <c r="G350" s="9">
        <v>45784</v>
      </c>
      <c r="H350" t="s">
        <v>78</v>
      </c>
      <c r="I350" t="s">
        <v>98</v>
      </c>
      <c r="J350" t="s">
        <v>90</v>
      </c>
      <c r="K350" t="s">
        <v>54</v>
      </c>
      <c r="L350" t="s">
        <v>65</v>
      </c>
      <c r="M350" t="s">
        <v>66</v>
      </c>
      <c r="N350">
        <v>3</v>
      </c>
      <c r="O350" t="s">
        <v>64</v>
      </c>
      <c r="P350" t="s">
        <v>54</v>
      </c>
      <c r="Q350" s="9">
        <v>45817</v>
      </c>
      <c r="R350" t="s">
        <v>67</v>
      </c>
      <c r="S350">
        <v>5</v>
      </c>
      <c r="T350">
        <v>1</v>
      </c>
      <c r="U350">
        <v>1</v>
      </c>
      <c r="V350" t="s">
        <v>54</v>
      </c>
      <c r="W350">
        <v>4</v>
      </c>
      <c r="X350" t="s">
        <v>54</v>
      </c>
      <c r="Y350" t="s">
        <v>58</v>
      </c>
      <c r="Z350" t="s">
        <v>305</v>
      </c>
      <c r="AA350">
        <v>21.1</v>
      </c>
      <c r="AB350" t="s">
        <v>79</v>
      </c>
      <c r="AC350" t="s">
        <v>181</v>
      </c>
      <c r="AD350" t="s">
        <v>201</v>
      </c>
      <c r="AE350" t="s">
        <v>222</v>
      </c>
    </row>
    <row r="351" spans="1:31" x14ac:dyDescent="0.3">
      <c r="A351" t="s">
        <v>890</v>
      </c>
      <c r="B351" t="s">
        <v>891</v>
      </c>
      <c r="C351" t="s">
        <v>54</v>
      </c>
      <c r="D351" t="s">
        <v>158</v>
      </c>
      <c r="E351" t="s">
        <v>53</v>
      </c>
      <c r="F351" s="9">
        <v>45828</v>
      </c>
      <c r="G351" s="9">
        <v>45695</v>
      </c>
      <c r="H351" t="s">
        <v>50</v>
      </c>
      <c r="I351" t="s">
        <v>52</v>
      </c>
      <c r="J351" t="s">
        <v>88</v>
      </c>
      <c r="K351" t="s">
        <v>54</v>
      </c>
      <c r="L351" t="s">
        <v>73</v>
      </c>
      <c r="M351" t="s">
        <v>66</v>
      </c>
      <c r="N351">
        <v>3</v>
      </c>
      <c r="O351" t="s">
        <v>64</v>
      </c>
      <c r="P351" t="s">
        <v>54</v>
      </c>
      <c r="Q351" s="9">
        <v>45805</v>
      </c>
      <c r="R351" t="s">
        <v>67</v>
      </c>
      <c r="S351">
        <v>3</v>
      </c>
      <c r="T351">
        <v>4</v>
      </c>
      <c r="U351">
        <v>5</v>
      </c>
      <c r="V351" t="s">
        <v>54</v>
      </c>
      <c r="W351">
        <v>5</v>
      </c>
      <c r="X351" t="s">
        <v>64</v>
      </c>
      <c r="Y351" t="s">
        <v>190</v>
      </c>
      <c r="Z351" t="s">
        <v>190</v>
      </c>
      <c r="AA351">
        <v>17.7</v>
      </c>
      <c r="AB351" t="s">
        <v>51</v>
      </c>
      <c r="AC351" t="s">
        <v>180</v>
      </c>
      <c r="AD351" t="s">
        <v>201</v>
      </c>
      <c r="AE351" t="s">
        <v>192</v>
      </c>
    </row>
    <row r="352" spans="1:31" x14ac:dyDescent="0.3">
      <c r="A352" t="s">
        <v>892</v>
      </c>
      <c r="B352" t="s">
        <v>893</v>
      </c>
      <c r="C352" t="s">
        <v>54</v>
      </c>
      <c r="D352" t="s">
        <v>158</v>
      </c>
      <c r="E352" t="s">
        <v>53</v>
      </c>
      <c r="F352" s="9">
        <v>45757</v>
      </c>
      <c r="G352" s="9">
        <v>45651</v>
      </c>
      <c r="H352" t="s">
        <v>78</v>
      </c>
      <c r="I352" t="s">
        <v>97</v>
      </c>
      <c r="J352" t="s">
        <v>77</v>
      </c>
      <c r="K352" t="s">
        <v>54</v>
      </c>
      <c r="L352" t="s">
        <v>87</v>
      </c>
      <c r="M352" t="s">
        <v>56</v>
      </c>
      <c r="N352">
        <v>9</v>
      </c>
      <c r="O352" t="s">
        <v>64</v>
      </c>
      <c r="P352" t="s">
        <v>54</v>
      </c>
      <c r="Q352" s="9">
        <v>45681</v>
      </c>
      <c r="R352" t="s">
        <v>75</v>
      </c>
      <c r="S352">
        <v>4</v>
      </c>
      <c r="T352">
        <v>3</v>
      </c>
      <c r="U352">
        <v>4</v>
      </c>
      <c r="V352" t="s">
        <v>64</v>
      </c>
      <c r="W352">
        <v>4</v>
      </c>
      <c r="X352" t="s">
        <v>64</v>
      </c>
      <c r="Y352" t="s">
        <v>190</v>
      </c>
      <c r="Z352" t="s">
        <v>190</v>
      </c>
      <c r="AA352">
        <v>26.7</v>
      </c>
      <c r="AB352" t="s">
        <v>79</v>
      </c>
      <c r="AC352" t="s">
        <v>180</v>
      </c>
      <c r="AD352" t="s">
        <v>191</v>
      </c>
      <c r="AE352" t="s">
        <v>192</v>
      </c>
    </row>
    <row r="353" spans="1:31" x14ac:dyDescent="0.3">
      <c r="A353" t="s">
        <v>894</v>
      </c>
      <c r="B353" t="s">
        <v>895</v>
      </c>
      <c r="C353" t="s">
        <v>54</v>
      </c>
      <c r="D353" t="s">
        <v>158</v>
      </c>
      <c r="E353" t="s">
        <v>53</v>
      </c>
      <c r="F353" s="9">
        <v>45848</v>
      </c>
      <c r="G353" s="9">
        <v>45805</v>
      </c>
      <c r="H353" t="s">
        <v>70</v>
      </c>
      <c r="I353" t="s">
        <v>95</v>
      </c>
      <c r="J353" t="s">
        <v>92</v>
      </c>
      <c r="K353" t="s">
        <v>54</v>
      </c>
      <c r="L353" t="s">
        <v>65</v>
      </c>
      <c r="M353" t="s">
        <v>56</v>
      </c>
      <c r="N353">
        <v>4</v>
      </c>
      <c r="O353" t="s">
        <v>64</v>
      </c>
      <c r="P353" t="s">
        <v>54</v>
      </c>
      <c r="Q353" s="9">
        <v>45846</v>
      </c>
      <c r="R353" t="s">
        <v>57</v>
      </c>
      <c r="S353">
        <v>5</v>
      </c>
      <c r="T353">
        <v>2</v>
      </c>
      <c r="U353">
        <v>2</v>
      </c>
      <c r="V353" t="s">
        <v>54</v>
      </c>
      <c r="W353">
        <v>5</v>
      </c>
      <c r="X353" t="s">
        <v>64</v>
      </c>
      <c r="Y353" t="s">
        <v>190</v>
      </c>
      <c r="Z353" t="s">
        <v>190</v>
      </c>
      <c r="AA353">
        <v>17.399999999999999</v>
      </c>
      <c r="AB353" t="s">
        <v>71</v>
      </c>
      <c r="AC353" t="s">
        <v>180</v>
      </c>
      <c r="AD353" t="s">
        <v>207</v>
      </c>
      <c r="AE353" t="s">
        <v>192</v>
      </c>
    </row>
    <row r="354" spans="1:31" x14ac:dyDescent="0.3">
      <c r="A354" t="s">
        <v>896</v>
      </c>
      <c r="B354" t="s">
        <v>897</v>
      </c>
      <c r="C354" t="s">
        <v>54</v>
      </c>
      <c r="D354" t="s">
        <v>158</v>
      </c>
      <c r="E354" t="s">
        <v>63</v>
      </c>
      <c r="F354" s="9">
        <v>45897</v>
      </c>
      <c r="G354" s="9">
        <v>45801</v>
      </c>
      <c r="H354" t="s">
        <v>50</v>
      </c>
      <c r="I354" t="s">
        <v>52</v>
      </c>
      <c r="J354" t="s">
        <v>59</v>
      </c>
      <c r="K354" t="s">
        <v>54</v>
      </c>
      <c r="L354" t="s">
        <v>65</v>
      </c>
      <c r="M354" t="s">
        <v>66</v>
      </c>
      <c r="N354">
        <v>3</v>
      </c>
      <c r="O354" t="s">
        <v>64</v>
      </c>
      <c r="P354" t="s">
        <v>54</v>
      </c>
      <c r="Q354" s="9">
        <v>45892</v>
      </c>
      <c r="R354" t="s">
        <v>75</v>
      </c>
      <c r="S354">
        <v>4</v>
      </c>
      <c r="T354">
        <v>3</v>
      </c>
      <c r="U354">
        <v>4</v>
      </c>
      <c r="V354" t="s">
        <v>64</v>
      </c>
      <c r="W354">
        <v>5</v>
      </c>
      <c r="X354" t="s">
        <v>54</v>
      </c>
      <c r="Y354" t="s">
        <v>76</v>
      </c>
      <c r="Z354" t="s">
        <v>190</v>
      </c>
      <c r="AA354">
        <v>18.399999999999999</v>
      </c>
      <c r="AB354" t="s">
        <v>51</v>
      </c>
      <c r="AC354" t="s">
        <v>181</v>
      </c>
      <c r="AD354" t="s">
        <v>191</v>
      </c>
      <c r="AE354" t="s">
        <v>237</v>
      </c>
    </row>
    <row r="355" spans="1:31" x14ac:dyDescent="0.3">
      <c r="A355" t="s">
        <v>898</v>
      </c>
      <c r="B355" t="s">
        <v>899</v>
      </c>
      <c r="C355" t="s">
        <v>54</v>
      </c>
      <c r="D355" t="s">
        <v>158</v>
      </c>
      <c r="E355" t="s">
        <v>53</v>
      </c>
      <c r="F355" s="9">
        <v>45837</v>
      </c>
      <c r="G355" s="9">
        <v>45725</v>
      </c>
      <c r="H355" t="s">
        <v>70</v>
      </c>
      <c r="I355" t="s">
        <v>91</v>
      </c>
      <c r="J355" t="s">
        <v>77</v>
      </c>
      <c r="K355" t="s">
        <v>54</v>
      </c>
      <c r="L355" t="s">
        <v>81</v>
      </c>
      <c r="M355" t="s">
        <v>56</v>
      </c>
      <c r="N355">
        <v>3</v>
      </c>
      <c r="O355" t="s">
        <v>64</v>
      </c>
      <c r="P355" t="s">
        <v>54</v>
      </c>
      <c r="Q355" s="9">
        <v>45821</v>
      </c>
      <c r="R355" t="s">
        <v>83</v>
      </c>
      <c r="S355">
        <v>5</v>
      </c>
      <c r="T355">
        <v>1</v>
      </c>
      <c r="U355">
        <v>2</v>
      </c>
      <c r="V355" t="s">
        <v>54</v>
      </c>
      <c r="W355">
        <v>4</v>
      </c>
      <c r="X355" t="s">
        <v>64</v>
      </c>
      <c r="Y355" t="s">
        <v>190</v>
      </c>
      <c r="Z355" t="s">
        <v>432</v>
      </c>
      <c r="AA355">
        <v>23.6</v>
      </c>
      <c r="AB355" t="s">
        <v>71</v>
      </c>
      <c r="AC355" t="s">
        <v>180</v>
      </c>
      <c r="AD355" t="s">
        <v>196</v>
      </c>
      <c r="AE355" t="s">
        <v>192</v>
      </c>
    </row>
    <row r="356" spans="1:31" x14ac:dyDescent="0.3">
      <c r="A356" t="s">
        <v>900</v>
      </c>
      <c r="B356" t="s">
        <v>901</v>
      </c>
      <c r="C356" t="s">
        <v>54</v>
      </c>
      <c r="D356" t="s">
        <v>158</v>
      </c>
      <c r="E356" t="s">
        <v>63</v>
      </c>
      <c r="F356" s="9">
        <v>45848</v>
      </c>
      <c r="G356" s="9">
        <v>45768</v>
      </c>
      <c r="H356" t="s">
        <v>50</v>
      </c>
      <c r="I356" t="s">
        <v>72</v>
      </c>
      <c r="J356" t="s">
        <v>88</v>
      </c>
      <c r="K356" t="s">
        <v>54</v>
      </c>
      <c r="L356" t="s">
        <v>65</v>
      </c>
      <c r="M356" t="s">
        <v>66</v>
      </c>
      <c r="N356">
        <v>6</v>
      </c>
      <c r="O356" t="s">
        <v>64</v>
      </c>
      <c r="P356" t="s">
        <v>54</v>
      </c>
      <c r="Q356" s="9">
        <v>45824</v>
      </c>
      <c r="R356" t="s">
        <v>57</v>
      </c>
      <c r="S356">
        <v>2</v>
      </c>
      <c r="T356">
        <v>3</v>
      </c>
      <c r="U356">
        <v>4</v>
      </c>
      <c r="V356" t="s">
        <v>54</v>
      </c>
      <c r="W356">
        <v>5</v>
      </c>
      <c r="X356" t="s">
        <v>64</v>
      </c>
      <c r="Y356" t="s">
        <v>190</v>
      </c>
      <c r="Z356" t="s">
        <v>190</v>
      </c>
      <c r="AA356">
        <v>7.7</v>
      </c>
      <c r="AB356" t="s">
        <v>51</v>
      </c>
      <c r="AC356" t="s">
        <v>181</v>
      </c>
      <c r="AD356" t="s">
        <v>207</v>
      </c>
      <c r="AE356" t="s">
        <v>192</v>
      </c>
    </row>
    <row r="357" spans="1:31" x14ac:dyDescent="0.3">
      <c r="A357" t="s">
        <v>902</v>
      </c>
      <c r="B357" t="s">
        <v>903</v>
      </c>
      <c r="C357" t="s">
        <v>54</v>
      </c>
      <c r="D357" t="s">
        <v>158</v>
      </c>
      <c r="E357" t="s">
        <v>63</v>
      </c>
      <c r="F357" s="9">
        <v>45804</v>
      </c>
      <c r="G357" s="9">
        <v>45707</v>
      </c>
      <c r="H357" t="s">
        <v>60</v>
      </c>
      <c r="I357" t="s">
        <v>80</v>
      </c>
      <c r="J357" t="s">
        <v>94</v>
      </c>
      <c r="K357" t="s">
        <v>54</v>
      </c>
      <c r="L357" t="s">
        <v>81</v>
      </c>
      <c r="M357" t="s">
        <v>56</v>
      </c>
      <c r="N357">
        <v>7</v>
      </c>
      <c r="O357" t="s">
        <v>54</v>
      </c>
      <c r="P357" t="s">
        <v>54</v>
      </c>
      <c r="Q357" s="9">
        <v>45755</v>
      </c>
      <c r="R357" t="s">
        <v>83</v>
      </c>
      <c r="S357">
        <v>4</v>
      </c>
      <c r="T357">
        <v>4</v>
      </c>
      <c r="U357">
        <v>5</v>
      </c>
      <c r="V357" t="s">
        <v>54</v>
      </c>
      <c r="W357">
        <v>2</v>
      </c>
      <c r="X357" t="s">
        <v>64</v>
      </c>
      <c r="Y357" t="s">
        <v>190</v>
      </c>
      <c r="Z357" t="s">
        <v>190</v>
      </c>
      <c r="AA357">
        <v>20</v>
      </c>
      <c r="AB357" t="s">
        <v>61</v>
      </c>
      <c r="AC357" t="s">
        <v>181</v>
      </c>
      <c r="AD357" t="s">
        <v>196</v>
      </c>
      <c r="AE357" t="s">
        <v>192</v>
      </c>
    </row>
    <row r="358" spans="1:31" x14ac:dyDescent="0.3">
      <c r="A358" t="s">
        <v>904</v>
      </c>
      <c r="B358" t="s">
        <v>905</v>
      </c>
      <c r="C358" t="s">
        <v>54</v>
      </c>
      <c r="D358" t="s">
        <v>158</v>
      </c>
      <c r="E358" t="s">
        <v>53</v>
      </c>
      <c r="F358" s="9">
        <v>45785</v>
      </c>
      <c r="G358" s="9">
        <v>45654</v>
      </c>
      <c r="H358" t="s">
        <v>70</v>
      </c>
      <c r="I358" t="s">
        <v>93</v>
      </c>
      <c r="J358" t="s">
        <v>69</v>
      </c>
      <c r="K358" t="s">
        <v>54</v>
      </c>
      <c r="L358" t="s">
        <v>73</v>
      </c>
      <c r="M358" t="s">
        <v>56</v>
      </c>
      <c r="N358">
        <v>9</v>
      </c>
      <c r="O358" t="s">
        <v>64</v>
      </c>
      <c r="P358" t="s">
        <v>64</v>
      </c>
      <c r="Q358" s="9"/>
      <c r="R358" t="s">
        <v>190</v>
      </c>
      <c r="V358" t="s">
        <v>190</v>
      </c>
      <c r="W358">
        <v>4</v>
      </c>
      <c r="X358" t="s">
        <v>64</v>
      </c>
      <c r="Y358" t="s">
        <v>76</v>
      </c>
      <c r="Z358" t="s">
        <v>190</v>
      </c>
      <c r="AA358">
        <v>19.600000000000001</v>
      </c>
      <c r="AB358" t="s">
        <v>71</v>
      </c>
      <c r="AC358" t="s">
        <v>180</v>
      </c>
      <c r="AD358" t="s">
        <v>192</v>
      </c>
      <c r="AE358" t="s">
        <v>237</v>
      </c>
    </row>
    <row r="359" spans="1:31" x14ac:dyDescent="0.3">
      <c r="A359" t="s">
        <v>906</v>
      </c>
      <c r="B359" t="s">
        <v>907</v>
      </c>
      <c r="C359" t="s">
        <v>54</v>
      </c>
      <c r="D359" t="s">
        <v>158</v>
      </c>
      <c r="E359" t="s">
        <v>63</v>
      </c>
      <c r="F359" s="9">
        <v>45837</v>
      </c>
      <c r="G359" s="9">
        <v>45714</v>
      </c>
      <c r="H359" t="s">
        <v>60</v>
      </c>
      <c r="I359" t="s">
        <v>86</v>
      </c>
      <c r="J359" t="s">
        <v>85</v>
      </c>
      <c r="K359" t="s">
        <v>54</v>
      </c>
      <c r="L359" t="s">
        <v>73</v>
      </c>
      <c r="M359" t="s">
        <v>66</v>
      </c>
      <c r="N359">
        <v>6</v>
      </c>
      <c r="O359" t="s">
        <v>54</v>
      </c>
      <c r="P359" t="s">
        <v>54</v>
      </c>
      <c r="Q359" s="9">
        <v>45808</v>
      </c>
      <c r="R359" t="s">
        <v>75</v>
      </c>
      <c r="S359">
        <v>4</v>
      </c>
      <c r="T359">
        <v>1</v>
      </c>
      <c r="U359">
        <v>3</v>
      </c>
      <c r="V359" t="s">
        <v>64</v>
      </c>
      <c r="W359">
        <v>1</v>
      </c>
      <c r="X359" t="s">
        <v>64</v>
      </c>
      <c r="Y359" t="s">
        <v>190</v>
      </c>
      <c r="Z359" t="s">
        <v>190</v>
      </c>
      <c r="AA359">
        <v>8.8000000000000007</v>
      </c>
      <c r="AB359" t="s">
        <v>61</v>
      </c>
      <c r="AC359" t="s">
        <v>181</v>
      </c>
      <c r="AD359" t="s">
        <v>191</v>
      </c>
      <c r="AE359" t="s">
        <v>192</v>
      </c>
    </row>
    <row r="360" spans="1:31" x14ac:dyDescent="0.3">
      <c r="A360" t="s">
        <v>908</v>
      </c>
      <c r="B360" t="s">
        <v>909</v>
      </c>
      <c r="C360" t="s">
        <v>54</v>
      </c>
      <c r="D360" t="s">
        <v>158</v>
      </c>
      <c r="E360" t="s">
        <v>53</v>
      </c>
      <c r="F360" s="9">
        <v>45810</v>
      </c>
      <c r="G360" s="9">
        <v>45776</v>
      </c>
      <c r="H360" t="s">
        <v>78</v>
      </c>
      <c r="I360" t="s">
        <v>98</v>
      </c>
      <c r="J360" t="s">
        <v>90</v>
      </c>
      <c r="K360" t="s">
        <v>54</v>
      </c>
      <c r="L360" t="s">
        <v>65</v>
      </c>
      <c r="M360" t="s">
        <v>56</v>
      </c>
      <c r="N360">
        <v>5</v>
      </c>
      <c r="O360" t="s">
        <v>64</v>
      </c>
      <c r="P360" t="s">
        <v>64</v>
      </c>
      <c r="Q360" s="9"/>
      <c r="R360" t="s">
        <v>190</v>
      </c>
      <c r="V360" t="s">
        <v>190</v>
      </c>
      <c r="W360">
        <v>5</v>
      </c>
      <c r="X360" t="s">
        <v>64</v>
      </c>
      <c r="Y360" t="s">
        <v>190</v>
      </c>
      <c r="Z360" t="s">
        <v>190</v>
      </c>
      <c r="AA360">
        <v>16.2</v>
      </c>
      <c r="AB360" t="s">
        <v>79</v>
      </c>
      <c r="AC360" t="s">
        <v>180</v>
      </c>
      <c r="AD360" t="s">
        <v>192</v>
      </c>
      <c r="AE360" t="s">
        <v>192</v>
      </c>
    </row>
    <row r="361" spans="1:31" x14ac:dyDescent="0.3">
      <c r="A361" t="s">
        <v>910</v>
      </c>
      <c r="B361" t="s">
        <v>911</v>
      </c>
      <c r="C361" t="s">
        <v>54</v>
      </c>
      <c r="D361" t="s">
        <v>158</v>
      </c>
      <c r="E361" t="s">
        <v>63</v>
      </c>
      <c r="F361" s="9">
        <v>45874</v>
      </c>
      <c r="G361" s="9">
        <v>45773</v>
      </c>
      <c r="H361" t="s">
        <v>50</v>
      </c>
      <c r="I361" t="s">
        <v>62</v>
      </c>
      <c r="J361" t="s">
        <v>69</v>
      </c>
      <c r="K361" t="s">
        <v>54</v>
      </c>
      <c r="L361" t="s">
        <v>55</v>
      </c>
      <c r="M361" t="s">
        <v>56</v>
      </c>
      <c r="N361">
        <v>11</v>
      </c>
      <c r="O361" t="s">
        <v>64</v>
      </c>
      <c r="P361" t="s">
        <v>64</v>
      </c>
      <c r="Q361" s="9"/>
      <c r="R361" t="s">
        <v>190</v>
      </c>
      <c r="V361" t="s">
        <v>190</v>
      </c>
      <c r="W361">
        <v>4</v>
      </c>
      <c r="X361" t="s">
        <v>64</v>
      </c>
      <c r="Y361" t="s">
        <v>190</v>
      </c>
      <c r="Z361" t="s">
        <v>190</v>
      </c>
      <c r="AA361">
        <v>20.5</v>
      </c>
      <c r="AB361" t="s">
        <v>51</v>
      </c>
      <c r="AC361" t="s">
        <v>181</v>
      </c>
      <c r="AD361" t="s">
        <v>192</v>
      </c>
      <c r="AE361" t="s">
        <v>192</v>
      </c>
    </row>
    <row r="362" spans="1:31" x14ac:dyDescent="0.3">
      <c r="A362" t="s">
        <v>912</v>
      </c>
      <c r="B362" t="s">
        <v>913</v>
      </c>
      <c r="C362" t="s">
        <v>54</v>
      </c>
      <c r="D362" t="s">
        <v>158</v>
      </c>
      <c r="E362" t="s">
        <v>53</v>
      </c>
      <c r="F362" s="9">
        <v>45840</v>
      </c>
      <c r="G362" s="9">
        <v>45694</v>
      </c>
      <c r="H362" t="s">
        <v>50</v>
      </c>
      <c r="I362" t="s">
        <v>62</v>
      </c>
      <c r="J362" t="s">
        <v>94</v>
      </c>
      <c r="K362" t="s">
        <v>54</v>
      </c>
      <c r="L362" t="s">
        <v>87</v>
      </c>
      <c r="M362" t="s">
        <v>56</v>
      </c>
      <c r="N362">
        <v>7</v>
      </c>
      <c r="O362" t="s">
        <v>64</v>
      </c>
      <c r="P362" t="s">
        <v>54</v>
      </c>
      <c r="Q362" s="9">
        <v>45789</v>
      </c>
      <c r="R362" t="s">
        <v>67</v>
      </c>
      <c r="S362">
        <v>3</v>
      </c>
      <c r="T362">
        <v>4</v>
      </c>
      <c r="U362">
        <v>5</v>
      </c>
      <c r="V362" t="s">
        <v>54</v>
      </c>
      <c r="W362">
        <v>4</v>
      </c>
      <c r="X362" t="s">
        <v>54</v>
      </c>
      <c r="Y362" t="s">
        <v>68</v>
      </c>
      <c r="Z362" t="s">
        <v>190</v>
      </c>
      <c r="AA362">
        <v>22.3</v>
      </c>
      <c r="AB362" t="s">
        <v>51</v>
      </c>
      <c r="AC362" t="s">
        <v>180</v>
      </c>
      <c r="AD362" t="s">
        <v>201</v>
      </c>
      <c r="AE362" t="s">
        <v>243</v>
      </c>
    </row>
    <row r="363" spans="1:31" x14ac:dyDescent="0.3">
      <c r="A363" t="s">
        <v>914</v>
      </c>
      <c r="B363" t="s">
        <v>915</v>
      </c>
      <c r="C363" t="s">
        <v>54</v>
      </c>
      <c r="D363" t="s">
        <v>158</v>
      </c>
      <c r="E363" t="s">
        <v>63</v>
      </c>
      <c r="F363" s="9">
        <v>45772</v>
      </c>
      <c r="G363" s="9">
        <v>45742</v>
      </c>
      <c r="H363" t="s">
        <v>50</v>
      </c>
      <c r="I363" t="s">
        <v>72</v>
      </c>
      <c r="J363" t="s">
        <v>59</v>
      </c>
      <c r="K363" t="s">
        <v>54</v>
      </c>
      <c r="L363" t="s">
        <v>73</v>
      </c>
      <c r="M363" t="s">
        <v>56</v>
      </c>
      <c r="N363">
        <v>3</v>
      </c>
      <c r="O363" t="s">
        <v>54</v>
      </c>
      <c r="P363" t="s">
        <v>64</v>
      </c>
      <c r="Q363" s="9"/>
      <c r="R363" t="s">
        <v>190</v>
      </c>
      <c r="V363" t="s">
        <v>190</v>
      </c>
      <c r="W363">
        <v>2</v>
      </c>
      <c r="X363" t="s">
        <v>64</v>
      </c>
      <c r="Y363" t="s">
        <v>190</v>
      </c>
      <c r="Z363" t="s">
        <v>190</v>
      </c>
      <c r="AA363">
        <v>24.7</v>
      </c>
      <c r="AB363" t="s">
        <v>51</v>
      </c>
      <c r="AC363" t="s">
        <v>181</v>
      </c>
      <c r="AD363" t="s">
        <v>192</v>
      </c>
      <c r="AE363" t="s">
        <v>192</v>
      </c>
    </row>
    <row r="364" spans="1:31" x14ac:dyDescent="0.3">
      <c r="A364" t="s">
        <v>916</v>
      </c>
      <c r="B364" t="s">
        <v>917</v>
      </c>
      <c r="C364" t="s">
        <v>54</v>
      </c>
      <c r="D364" t="s">
        <v>158</v>
      </c>
      <c r="E364" t="s">
        <v>63</v>
      </c>
      <c r="F364" s="9">
        <v>45913</v>
      </c>
      <c r="G364" s="9">
        <v>45843</v>
      </c>
      <c r="H364" t="s">
        <v>60</v>
      </c>
      <c r="I364" t="s">
        <v>89</v>
      </c>
      <c r="J364" t="s">
        <v>92</v>
      </c>
      <c r="K364" t="s">
        <v>54</v>
      </c>
      <c r="L364" t="s">
        <v>81</v>
      </c>
      <c r="M364" t="s">
        <v>56</v>
      </c>
      <c r="N364">
        <v>5</v>
      </c>
      <c r="O364" t="s">
        <v>64</v>
      </c>
      <c r="P364" t="s">
        <v>54</v>
      </c>
      <c r="Q364" s="9">
        <v>45873</v>
      </c>
      <c r="R364" t="s">
        <v>67</v>
      </c>
      <c r="S364">
        <v>4</v>
      </c>
      <c r="T364">
        <v>3</v>
      </c>
      <c r="U364">
        <v>4</v>
      </c>
      <c r="V364" t="s">
        <v>54</v>
      </c>
      <c r="W364">
        <v>3</v>
      </c>
      <c r="X364" t="s">
        <v>54</v>
      </c>
      <c r="Y364" t="s">
        <v>68</v>
      </c>
      <c r="Z364" t="s">
        <v>190</v>
      </c>
      <c r="AA364">
        <v>21.3</v>
      </c>
      <c r="AB364" t="s">
        <v>61</v>
      </c>
      <c r="AC364" t="s">
        <v>181</v>
      </c>
      <c r="AD364" t="s">
        <v>201</v>
      </c>
      <c r="AE364" t="s">
        <v>243</v>
      </c>
    </row>
    <row r="365" spans="1:31" x14ac:dyDescent="0.3">
      <c r="A365" t="s">
        <v>918</v>
      </c>
      <c r="B365" t="s">
        <v>919</v>
      </c>
      <c r="C365" t="s">
        <v>54</v>
      </c>
      <c r="D365" t="s">
        <v>158</v>
      </c>
      <c r="E365" t="s">
        <v>63</v>
      </c>
      <c r="F365" s="9">
        <v>45866</v>
      </c>
      <c r="G365" s="9">
        <v>45798</v>
      </c>
      <c r="H365" t="s">
        <v>78</v>
      </c>
      <c r="I365" t="s">
        <v>96</v>
      </c>
      <c r="J365" t="s">
        <v>88</v>
      </c>
      <c r="K365" t="s">
        <v>54</v>
      </c>
      <c r="L365" t="s">
        <v>55</v>
      </c>
      <c r="M365" t="s">
        <v>56</v>
      </c>
      <c r="N365">
        <v>2</v>
      </c>
      <c r="O365" t="s">
        <v>64</v>
      </c>
      <c r="P365" t="s">
        <v>54</v>
      </c>
      <c r="Q365" s="9">
        <v>45843</v>
      </c>
      <c r="R365" t="s">
        <v>67</v>
      </c>
      <c r="S365">
        <v>4</v>
      </c>
      <c r="T365">
        <v>3</v>
      </c>
      <c r="U365">
        <v>4</v>
      </c>
      <c r="V365" t="s">
        <v>54</v>
      </c>
      <c r="W365">
        <v>3</v>
      </c>
      <c r="X365" t="s">
        <v>64</v>
      </c>
      <c r="Y365" t="s">
        <v>190</v>
      </c>
      <c r="Z365" t="s">
        <v>190</v>
      </c>
      <c r="AA365">
        <v>20.5</v>
      </c>
      <c r="AB365" t="s">
        <v>79</v>
      </c>
      <c r="AC365" t="s">
        <v>181</v>
      </c>
      <c r="AD365" t="s">
        <v>201</v>
      </c>
      <c r="AE365" t="s">
        <v>192</v>
      </c>
    </row>
    <row r="366" spans="1:31" x14ac:dyDescent="0.3">
      <c r="A366" t="s">
        <v>920</v>
      </c>
      <c r="B366" t="s">
        <v>921</v>
      </c>
      <c r="C366" t="s">
        <v>54</v>
      </c>
      <c r="D366" t="s">
        <v>158</v>
      </c>
      <c r="E366" t="s">
        <v>63</v>
      </c>
      <c r="F366" s="9">
        <v>45784</v>
      </c>
      <c r="G366" s="9">
        <v>45674</v>
      </c>
      <c r="H366" t="s">
        <v>60</v>
      </c>
      <c r="I366" t="s">
        <v>89</v>
      </c>
      <c r="J366" t="s">
        <v>90</v>
      </c>
      <c r="K366" t="s">
        <v>54</v>
      </c>
      <c r="L366" t="s">
        <v>81</v>
      </c>
      <c r="M366" t="s">
        <v>66</v>
      </c>
      <c r="N366">
        <v>8</v>
      </c>
      <c r="O366" t="s">
        <v>64</v>
      </c>
      <c r="P366" t="s">
        <v>54</v>
      </c>
      <c r="Q366" s="9">
        <v>45698</v>
      </c>
      <c r="R366" t="s">
        <v>57</v>
      </c>
      <c r="S366">
        <v>4</v>
      </c>
      <c r="T366">
        <v>4</v>
      </c>
      <c r="U366">
        <v>5</v>
      </c>
      <c r="V366" t="s">
        <v>64</v>
      </c>
      <c r="W366">
        <v>4</v>
      </c>
      <c r="X366" t="s">
        <v>64</v>
      </c>
      <c r="Y366" t="s">
        <v>190</v>
      </c>
      <c r="Z366" t="s">
        <v>190</v>
      </c>
      <c r="AA366">
        <v>25.8</v>
      </c>
      <c r="AB366" t="s">
        <v>61</v>
      </c>
      <c r="AC366" t="s">
        <v>181</v>
      </c>
      <c r="AD366" t="s">
        <v>207</v>
      </c>
      <c r="AE366" t="s">
        <v>192</v>
      </c>
    </row>
    <row r="367" spans="1:31" x14ac:dyDescent="0.3">
      <c r="A367" t="s">
        <v>922</v>
      </c>
      <c r="B367" t="s">
        <v>923</v>
      </c>
      <c r="C367" t="s">
        <v>54</v>
      </c>
      <c r="D367" t="s">
        <v>158</v>
      </c>
      <c r="E367" t="s">
        <v>63</v>
      </c>
      <c r="F367" s="9">
        <v>45901</v>
      </c>
      <c r="G367" s="9">
        <v>45771</v>
      </c>
      <c r="H367" t="s">
        <v>70</v>
      </c>
      <c r="I367" t="s">
        <v>93</v>
      </c>
      <c r="J367" t="s">
        <v>92</v>
      </c>
      <c r="K367" t="s">
        <v>54</v>
      </c>
      <c r="L367" t="s">
        <v>55</v>
      </c>
      <c r="M367" t="s">
        <v>82</v>
      </c>
      <c r="N367">
        <v>5</v>
      </c>
      <c r="O367" t="s">
        <v>64</v>
      </c>
      <c r="P367" t="s">
        <v>54</v>
      </c>
      <c r="Q367" s="9">
        <v>45813</v>
      </c>
      <c r="R367" t="s">
        <v>67</v>
      </c>
      <c r="S367">
        <v>4</v>
      </c>
      <c r="T367">
        <v>4</v>
      </c>
      <c r="U367">
        <v>4</v>
      </c>
      <c r="V367" t="s">
        <v>54</v>
      </c>
      <c r="W367">
        <v>3</v>
      </c>
      <c r="X367" t="s">
        <v>54</v>
      </c>
      <c r="Y367" t="s">
        <v>76</v>
      </c>
      <c r="Z367" t="s">
        <v>190</v>
      </c>
      <c r="AA367">
        <v>23.3</v>
      </c>
      <c r="AB367" t="s">
        <v>71</v>
      </c>
      <c r="AC367" t="s">
        <v>181</v>
      </c>
      <c r="AD367" t="s">
        <v>201</v>
      </c>
      <c r="AE367" t="s">
        <v>237</v>
      </c>
    </row>
    <row r="368" spans="1:31" x14ac:dyDescent="0.3">
      <c r="A368" t="s">
        <v>924</v>
      </c>
      <c r="B368" t="s">
        <v>925</v>
      </c>
      <c r="C368" t="s">
        <v>54</v>
      </c>
      <c r="D368" t="s">
        <v>158</v>
      </c>
      <c r="E368" t="s">
        <v>63</v>
      </c>
      <c r="F368" s="9">
        <v>45816</v>
      </c>
      <c r="G368" s="9">
        <v>45683</v>
      </c>
      <c r="H368" t="s">
        <v>78</v>
      </c>
      <c r="I368" t="s">
        <v>97</v>
      </c>
      <c r="J368" t="s">
        <v>88</v>
      </c>
      <c r="K368" t="s">
        <v>54</v>
      </c>
      <c r="L368" t="s">
        <v>87</v>
      </c>
      <c r="M368" t="s">
        <v>66</v>
      </c>
      <c r="N368">
        <v>8</v>
      </c>
      <c r="O368" t="s">
        <v>64</v>
      </c>
      <c r="P368" t="s">
        <v>54</v>
      </c>
      <c r="Q368" s="9">
        <v>45718</v>
      </c>
      <c r="R368" t="s">
        <v>75</v>
      </c>
      <c r="S368">
        <v>4</v>
      </c>
      <c r="T368">
        <v>4</v>
      </c>
      <c r="U368">
        <v>4</v>
      </c>
      <c r="V368" t="s">
        <v>54</v>
      </c>
      <c r="W368">
        <v>2</v>
      </c>
      <c r="X368" t="s">
        <v>54</v>
      </c>
      <c r="Y368" t="s">
        <v>76</v>
      </c>
      <c r="Z368" t="s">
        <v>195</v>
      </c>
      <c r="AA368">
        <v>19.2</v>
      </c>
      <c r="AB368" t="s">
        <v>79</v>
      </c>
      <c r="AC368" t="s">
        <v>181</v>
      </c>
      <c r="AD368" t="s">
        <v>191</v>
      </c>
      <c r="AE368" t="s">
        <v>237</v>
      </c>
    </row>
    <row r="369" spans="1:31" x14ac:dyDescent="0.3">
      <c r="A369" t="s">
        <v>926</v>
      </c>
      <c r="B369" t="s">
        <v>927</v>
      </c>
      <c r="C369" t="s">
        <v>54</v>
      </c>
      <c r="D369" t="s">
        <v>158</v>
      </c>
      <c r="E369" t="s">
        <v>63</v>
      </c>
      <c r="F369" s="9">
        <v>45850</v>
      </c>
      <c r="G369" s="9">
        <v>45743</v>
      </c>
      <c r="H369" t="s">
        <v>50</v>
      </c>
      <c r="I369" t="s">
        <v>62</v>
      </c>
      <c r="J369" t="s">
        <v>77</v>
      </c>
      <c r="K369" t="s">
        <v>54</v>
      </c>
      <c r="L369" t="s">
        <v>65</v>
      </c>
      <c r="M369" t="s">
        <v>56</v>
      </c>
      <c r="N369">
        <v>5</v>
      </c>
      <c r="O369" t="s">
        <v>64</v>
      </c>
      <c r="P369" t="s">
        <v>54</v>
      </c>
      <c r="Q369" s="9">
        <v>45815</v>
      </c>
      <c r="R369" t="s">
        <v>57</v>
      </c>
      <c r="S369">
        <v>5</v>
      </c>
      <c r="T369">
        <v>4</v>
      </c>
      <c r="U369">
        <v>5</v>
      </c>
      <c r="V369" t="s">
        <v>64</v>
      </c>
      <c r="W369">
        <v>3</v>
      </c>
      <c r="X369" t="s">
        <v>64</v>
      </c>
      <c r="Y369" t="s">
        <v>190</v>
      </c>
      <c r="Z369" t="s">
        <v>190</v>
      </c>
      <c r="AA369">
        <v>16.399999999999999</v>
      </c>
      <c r="AB369" t="s">
        <v>51</v>
      </c>
      <c r="AC369" t="s">
        <v>181</v>
      </c>
      <c r="AD369" t="s">
        <v>207</v>
      </c>
      <c r="AE369" t="s">
        <v>192</v>
      </c>
    </row>
    <row r="370" spans="1:31" x14ac:dyDescent="0.3">
      <c r="A370" t="s">
        <v>928</v>
      </c>
      <c r="B370" t="s">
        <v>929</v>
      </c>
      <c r="C370" t="s">
        <v>54</v>
      </c>
      <c r="D370" t="s">
        <v>158</v>
      </c>
      <c r="E370" t="s">
        <v>53</v>
      </c>
      <c r="F370" s="9">
        <v>45917</v>
      </c>
      <c r="G370" s="9">
        <v>45819</v>
      </c>
      <c r="H370" t="s">
        <v>78</v>
      </c>
      <c r="I370" t="s">
        <v>98</v>
      </c>
      <c r="J370" t="s">
        <v>77</v>
      </c>
      <c r="K370" t="s">
        <v>54</v>
      </c>
      <c r="L370" t="s">
        <v>65</v>
      </c>
      <c r="M370" t="s">
        <v>66</v>
      </c>
      <c r="N370">
        <v>2</v>
      </c>
      <c r="O370" t="s">
        <v>64</v>
      </c>
      <c r="P370" t="s">
        <v>54</v>
      </c>
      <c r="Q370" s="9">
        <v>45821</v>
      </c>
      <c r="R370" t="s">
        <v>75</v>
      </c>
      <c r="S370">
        <v>3</v>
      </c>
      <c r="T370">
        <v>4</v>
      </c>
      <c r="U370">
        <v>5</v>
      </c>
      <c r="V370" t="s">
        <v>54</v>
      </c>
      <c r="W370">
        <v>5</v>
      </c>
      <c r="X370" t="s">
        <v>54</v>
      </c>
      <c r="Y370" t="s">
        <v>68</v>
      </c>
      <c r="Z370" t="s">
        <v>190</v>
      </c>
      <c r="AA370">
        <v>13.6</v>
      </c>
      <c r="AB370" t="s">
        <v>79</v>
      </c>
      <c r="AC370" t="s">
        <v>180</v>
      </c>
      <c r="AD370" t="s">
        <v>191</v>
      </c>
      <c r="AE370" t="s">
        <v>243</v>
      </c>
    </row>
    <row r="371" spans="1:31" x14ac:dyDescent="0.3">
      <c r="A371" t="s">
        <v>930</v>
      </c>
      <c r="B371" t="s">
        <v>931</v>
      </c>
      <c r="C371" t="s">
        <v>54</v>
      </c>
      <c r="D371" t="s">
        <v>158</v>
      </c>
      <c r="E371" t="s">
        <v>63</v>
      </c>
      <c r="F371" s="9">
        <v>45750</v>
      </c>
      <c r="G371" s="9">
        <v>45712</v>
      </c>
      <c r="H371" t="s">
        <v>78</v>
      </c>
      <c r="I371" t="s">
        <v>98</v>
      </c>
      <c r="J371" t="s">
        <v>77</v>
      </c>
      <c r="K371" t="s">
        <v>54</v>
      </c>
      <c r="L371" t="s">
        <v>73</v>
      </c>
      <c r="M371" t="s">
        <v>56</v>
      </c>
      <c r="N371">
        <v>7</v>
      </c>
      <c r="O371" t="s">
        <v>64</v>
      </c>
      <c r="P371" t="s">
        <v>54</v>
      </c>
      <c r="Q371" s="9">
        <v>45712</v>
      </c>
      <c r="R371" t="s">
        <v>57</v>
      </c>
      <c r="S371">
        <v>5</v>
      </c>
      <c r="T371">
        <v>1</v>
      </c>
      <c r="U371">
        <v>3</v>
      </c>
      <c r="V371" t="s">
        <v>54</v>
      </c>
      <c r="W371">
        <v>4</v>
      </c>
      <c r="X371" t="s">
        <v>64</v>
      </c>
      <c r="Y371" t="s">
        <v>190</v>
      </c>
      <c r="Z371" t="s">
        <v>190</v>
      </c>
      <c r="AA371">
        <v>17.3</v>
      </c>
      <c r="AB371" t="s">
        <v>79</v>
      </c>
      <c r="AC371" t="s">
        <v>181</v>
      </c>
      <c r="AD371" t="s">
        <v>207</v>
      </c>
      <c r="AE371" t="s">
        <v>192</v>
      </c>
    </row>
    <row r="372" spans="1:31" x14ac:dyDescent="0.3">
      <c r="A372" t="s">
        <v>932</v>
      </c>
      <c r="B372" t="s">
        <v>933</v>
      </c>
      <c r="C372" t="s">
        <v>54</v>
      </c>
      <c r="D372" t="s">
        <v>158</v>
      </c>
      <c r="E372" t="s">
        <v>63</v>
      </c>
      <c r="F372" s="9">
        <v>45853</v>
      </c>
      <c r="G372" s="9">
        <v>45731</v>
      </c>
      <c r="H372" t="s">
        <v>60</v>
      </c>
      <c r="I372" t="s">
        <v>80</v>
      </c>
      <c r="J372" t="s">
        <v>59</v>
      </c>
      <c r="K372" t="s">
        <v>54</v>
      </c>
      <c r="L372" t="s">
        <v>73</v>
      </c>
      <c r="M372" t="s">
        <v>56</v>
      </c>
      <c r="N372">
        <v>9</v>
      </c>
      <c r="O372" t="s">
        <v>64</v>
      </c>
      <c r="P372" t="s">
        <v>54</v>
      </c>
      <c r="Q372" s="9">
        <v>45757</v>
      </c>
      <c r="R372" t="s">
        <v>57</v>
      </c>
      <c r="S372">
        <v>1</v>
      </c>
      <c r="T372">
        <v>2</v>
      </c>
      <c r="U372">
        <v>4</v>
      </c>
      <c r="V372" t="s">
        <v>54</v>
      </c>
      <c r="W372">
        <v>4</v>
      </c>
      <c r="X372" t="s">
        <v>64</v>
      </c>
      <c r="Y372" t="s">
        <v>190</v>
      </c>
      <c r="Z372" t="s">
        <v>190</v>
      </c>
      <c r="AA372">
        <v>26.6</v>
      </c>
      <c r="AB372" t="s">
        <v>61</v>
      </c>
      <c r="AC372" t="s">
        <v>181</v>
      </c>
      <c r="AD372" t="s">
        <v>207</v>
      </c>
      <c r="AE372" t="s">
        <v>192</v>
      </c>
    </row>
    <row r="373" spans="1:31" x14ac:dyDescent="0.3">
      <c r="A373" t="s">
        <v>934</v>
      </c>
      <c r="B373" t="s">
        <v>935</v>
      </c>
      <c r="C373" t="s">
        <v>54</v>
      </c>
      <c r="D373" t="s">
        <v>158</v>
      </c>
      <c r="E373" t="s">
        <v>63</v>
      </c>
      <c r="F373" s="9">
        <v>45900</v>
      </c>
      <c r="G373" s="9">
        <v>45771</v>
      </c>
      <c r="H373" t="s">
        <v>60</v>
      </c>
      <c r="I373" t="s">
        <v>89</v>
      </c>
      <c r="J373" t="s">
        <v>59</v>
      </c>
      <c r="K373" t="s">
        <v>54</v>
      </c>
      <c r="L373" t="s">
        <v>65</v>
      </c>
      <c r="M373" t="s">
        <v>56</v>
      </c>
      <c r="N373">
        <v>3</v>
      </c>
      <c r="O373" t="s">
        <v>64</v>
      </c>
      <c r="P373" t="s">
        <v>64</v>
      </c>
      <c r="Q373" s="9"/>
      <c r="R373" t="s">
        <v>190</v>
      </c>
      <c r="V373" t="s">
        <v>190</v>
      </c>
      <c r="W373">
        <v>5</v>
      </c>
      <c r="X373" t="s">
        <v>64</v>
      </c>
      <c r="Y373" t="s">
        <v>190</v>
      </c>
      <c r="Z373" t="s">
        <v>190</v>
      </c>
      <c r="AA373">
        <v>16.899999999999999</v>
      </c>
      <c r="AB373" t="s">
        <v>61</v>
      </c>
      <c r="AC373" t="s">
        <v>181</v>
      </c>
      <c r="AD373" t="s">
        <v>192</v>
      </c>
      <c r="AE373" t="s">
        <v>192</v>
      </c>
    </row>
    <row r="374" spans="1:31" x14ac:dyDescent="0.3">
      <c r="A374" t="s">
        <v>936</v>
      </c>
      <c r="B374" t="s">
        <v>937</v>
      </c>
      <c r="C374" t="s">
        <v>54</v>
      </c>
      <c r="D374" t="s">
        <v>158</v>
      </c>
      <c r="E374" t="s">
        <v>63</v>
      </c>
      <c r="F374" s="9">
        <v>45805</v>
      </c>
      <c r="G374" s="9">
        <v>45751</v>
      </c>
      <c r="H374" t="s">
        <v>70</v>
      </c>
      <c r="I374" t="s">
        <v>93</v>
      </c>
      <c r="J374" t="s">
        <v>59</v>
      </c>
      <c r="K374" t="s">
        <v>54</v>
      </c>
      <c r="L374" t="s">
        <v>65</v>
      </c>
      <c r="M374" t="s">
        <v>66</v>
      </c>
      <c r="N374">
        <v>3</v>
      </c>
      <c r="O374" t="s">
        <v>64</v>
      </c>
      <c r="P374" t="s">
        <v>54</v>
      </c>
      <c r="Q374" s="9">
        <v>45772</v>
      </c>
      <c r="R374" t="s">
        <v>83</v>
      </c>
      <c r="S374">
        <v>5</v>
      </c>
      <c r="T374">
        <v>2</v>
      </c>
      <c r="U374">
        <v>3</v>
      </c>
      <c r="V374" t="s">
        <v>54</v>
      </c>
      <c r="W374">
        <v>4</v>
      </c>
      <c r="X374" t="s">
        <v>64</v>
      </c>
      <c r="Y374" t="s">
        <v>190</v>
      </c>
      <c r="Z374" t="s">
        <v>432</v>
      </c>
      <c r="AA374">
        <v>5.6</v>
      </c>
      <c r="AB374" t="s">
        <v>71</v>
      </c>
      <c r="AC374" t="s">
        <v>181</v>
      </c>
      <c r="AD374" t="s">
        <v>196</v>
      </c>
      <c r="AE374" t="s">
        <v>192</v>
      </c>
    </row>
    <row r="375" spans="1:31" x14ac:dyDescent="0.3">
      <c r="A375" t="s">
        <v>938</v>
      </c>
      <c r="B375" t="s">
        <v>939</v>
      </c>
      <c r="C375" t="s">
        <v>54</v>
      </c>
      <c r="D375" t="s">
        <v>158</v>
      </c>
      <c r="E375" t="s">
        <v>53</v>
      </c>
      <c r="F375" s="9">
        <v>45807</v>
      </c>
      <c r="G375" s="9">
        <v>45673</v>
      </c>
      <c r="H375" t="s">
        <v>70</v>
      </c>
      <c r="I375" t="s">
        <v>91</v>
      </c>
      <c r="J375" t="s">
        <v>59</v>
      </c>
      <c r="K375" t="s">
        <v>54</v>
      </c>
      <c r="L375" t="s">
        <v>81</v>
      </c>
      <c r="M375" t="s">
        <v>56</v>
      </c>
      <c r="N375">
        <v>3</v>
      </c>
      <c r="O375" t="s">
        <v>64</v>
      </c>
      <c r="P375" t="s">
        <v>64</v>
      </c>
      <c r="Q375" s="9"/>
      <c r="R375" t="s">
        <v>190</v>
      </c>
      <c r="V375" t="s">
        <v>190</v>
      </c>
      <c r="W375">
        <v>1</v>
      </c>
      <c r="X375" t="s">
        <v>64</v>
      </c>
      <c r="Y375" t="s">
        <v>190</v>
      </c>
      <c r="Z375" t="s">
        <v>190</v>
      </c>
      <c r="AA375">
        <v>11</v>
      </c>
      <c r="AB375" t="s">
        <v>71</v>
      </c>
      <c r="AC375" t="s">
        <v>180</v>
      </c>
      <c r="AD375" t="s">
        <v>192</v>
      </c>
      <c r="AE375" t="s">
        <v>192</v>
      </c>
    </row>
    <row r="376" spans="1:31" x14ac:dyDescent="0.3">
      <c r="A376" t="s">
        <v>940</v>
      </c>
      <c r="B376" t="s">
        <v>941</v>
      </c>
      <c r="C376" t="s">
        <v>54</v>
      </c>
      <c r="D376" t="s">
        <v>158</v>
      </c>
      <c r="E376" t="s">
        <v>63</v>
      </c>
      <c r="F376" s="9">
        <v>45779</v>
      </c>
      <c r="G376" s="9">
        <v>45663</v>
      </c>
      <c r="H376" t="s">
        <v>78</v>
      </c>
      <c r="I376" t="s">
        <v>98</v>
      </c>
      <c r="J376" t="s">
        <v>77</v>
      </c>
      <c r="K376" t="s">
        <v>54</v>
      </c>
      <c r="L376" t="s">
        <v>65</v>
      </c>
      <c r="M376" t="s">
        <v>66</v>
      </c>
      <c r="N376">
        <v>4</v>
      </c>
      <c r="O376" t="s">
        <v>64</v>
      </c>
      <c r="P376" t="s">
        <v>54</v>
      </c>
      <c r="Q376" s="9">
        <v>45772</v>
      </c>
      <c r="R376" t="s">
        <v>75</v>
      </c>
      <c r="S376">
        <v>3</v>
      </c>
      <c r="T376">
        <v>2</v>
      </c>
      <c r="U376">
        <v>4</v>
      </c>
      <c r="V376" t="s">
        <v>54</v>
      </c>
      <c r="W376">
        <v>5</v>
      </c>
      <c r="X376" t="s">
        <v>64</v>
      </c>
      <c r="Y376" t="s">
        <v>190</v>
      </c>
      <c r="Z376" t="s">
        <v>190</v>
      </c>
      <c r="AA376">
        <v>24.4</v>
      </c>
      <c r="AB376" t="s">
        <v>79</v>
      </c>
      <c r="AC376" t="s">
        <v>181</v>
      </c>
      <c r="AD376" t="s">
        <v>191</v>
      </c>
      <c r="AE376" t="s">
        <v>192</v>
      </c>
    </row>
    <row r="377" spans="1:31" x14ac:dyDescent="0.3">
      <c r="A377" t="s">
        <v>942</v>
      </c>
      <c r="B377" t="s">
        <v>943</v>
      </c>
      <c r="C377" t="s">
        <v>54</v>
      </c>
      <c r="D377" t="s">
        <v>158</v>
      </c>
      <c r="E377" t="s">
        <v>53</v>
      </c>
      <c r="F377" s="9">
        <v>45909</v>
      </c>
      <c r="G377" s="9">
        <v>45832</v>
      </c>
      <c r="H377" t="s">
        <v>60</v>
      </c>
      <c r="I377" t="s">
        <v>86</v>
      </c>
      <c r="J377" t="s">
        <v>69</v>
      </c>
      <c r="K377" t="s">
        <v>54</v>
      </c>
      <c r="L377" t="s">
        <v>73</v>
      </c>
      <c r="M377" t="s">
        <v>56</v>
      </c>
      <c r="N377">
        <v>6</v>
      </c>
      <c r="O377" t="s">
        <v>54</v>
      </c>
      <c r="P377" t="s">
        <v>64</v>
      </c>
      <c r="Q377" s="9"/>
      <c r="R377" t="s">
        <v>190</v>
      </c>
      <c r="V377" t="s">
        <v>190</v>
      </c>
      <c r="W377">
        <v>5</v>
      </c>
      <c r="X377" t="s">
        <v>64</v>
      </c>
      <c r="Y377" t="s">
        <v>190</v>
      </c>
      <c r="Z377" t="s">
        <v>190</v>
      </c>
      <c r="AA377">
        <v>21.2</v>
      </c>
      <c r="AB377" t="s">
        <v>61</v>
      </c>
      <c r="AC377" t="s">
        <v>180</v>
      </c>
      <c r="AD377" t="s">
        <v>192</v>
      </c>
      <c r="AE377" t="s">
        <v>192</v>
      </c>
    </row>
    <row r="378" spans="1:31" x14ac:dyDescent="0.3">
      <c r="A378" t="s">
        <v>944</v>
      </c>
      <c r="B378" t="s">
        <v>945</v>
      </c>
      <c r="C378" t="s">
        <v>54</v>
      </c>
      <c r="D378" t="s">
        <v>158</v>
      </c>
      <c r="E378" t="s">
        <v>63</v>
      </c>
      <c r="F378" s="9">
        <v>45820</v>
      </c>
      <c r="G378" s="9">
        <v>45768</v>
      </c>
      <c r="H378" t="s">
        <v>50</v>
      </c>
      <c r="I378" t="s">
        <v>72</v>
      </c>
      <c r="J378" t="s">
        <v>94</v>
      </c>
      <c r="K378" t="s">
        <v>54</v>
      </c>
      <c r="L378" t="s">
        <v>87</v>
      </c>
      <c r="M378" t="s">
        <v>66</v>
      </c>
      <c r="N378">
        <v>5</v>
      </c>
      <c r="O378" t="s">
        <v>64</v>
      </c>
      <c r="P378" t="s">
        <v>64</v>
      </c>
      <c r="Q378" s="9"/>
      <c r="R378" t="s">
        <v>190</v>
      </c>
      <c r="V378" t="s">
        <v>190</v>
      </c>
      <c r="W378">
        <v>4</v>
      </c>
      <c r="X378" t="s">
        <v>54</v>
      </c>
      <c r="Y378" t="s">
        <v>68</v>
      </c>
      <c r="Z378" t="s">
        <v>190</v>
      </c>
      <c r="AA378">
        <v>4</v>
      </c>
      <c r="AB378" t="s">
        <v>51</v>
      </c>
      <c r="AC378" t="s">
        <v>181</v>
      </c>
      <c r="AD378" t="s">
        <v>192</v>
      </c>
      <c r="AE378" t="s">
        <v>243</v>
      </c>
    </row>
    <row r="379" spans="1:31" x14ac:dyDescent="0.3">
      <c r="A379" t="s">
        <v>946</v>
      </c>
      <c r="B379" t="s">
        <v>947</v>
      </c>
      <c r="C379" t="s">
        <v>54</v>
      </c>
      <c r="D379" t="s">
        <v>158</v>
      </c>
      <c r="E379" t="s">
        <v>63</v>
      </c>
      <c r="F379" s="9">
        <v>45756</v>
      </c>
      <c r="G379" s="9">
        <v>45685</v>
      </c>
      <c r="H379" t="s">
        <v>78</v>
      </c>
      <c r="I379" t="s">
        <v>96</v>
      </c>
      <c r="J379" t="s">
        <v>94</v>
      </c>
      <c r="K379" t="s">
        <v>54</v>
      </c>
      <c r="L379" t="s">
        <v>73</v>
      </c>
      <c r="M379" t="s">
        <v>66</v>
      </c>
      <c r="N379">
        <v>3</v>
      </c>
      <c r="O379" t="s">
        <v>64</v>
      </c>
      <c r="P379" t="s">
        <v>54</v>
      </c>
      <c r="Q379" s="9">
        <v>45742</v>
      </c>
      <c r="R379" t="s">
        <v>83</v>
      </c>
      <c r="S379">
        <v>4</v>
      </c>
      <c r="T379">
        <v>3</v>
      </c>
      <c r="U379">
        <v>4</v>
      </c>
      <c r="V379" t="s">
        <v>54</v>
      </c>
      <c r="W379">
        <v>4</v>
      </c>
      <c r="X379" t="s">
        <v>64</v>
      </c>
      <c r="Y379" t="s">
        <v>190</v>
      </c>
      <c r="Z379" t="s">
        <v>190</v>
      </c>
      <c r="AA379">
        <v>22.8</v>
      </c>
      <c r="AB379" t="s">
        <v>79</v>
      </c>
      <c r="AC379" t="s">
        <v>181</v>
      </c>
      <c r="AD379" t="s">
        <v>196</v>
      </c>
      <c r="AE379" t="s">
        <v>192</v>
      </c>
    </row>
    <row r="380" spans="1:31" x14ac:dyDescent="0.3">
      <c r="A380" t="s">
        <v>948</v>
      </c>
      <c r="B380" t="s">
        <v>949</v>
      </c>
      <c r="C380" t="s">
        <v>54</v>
      </c>
      <c r="D380" t="s">
        <v>158</v>
      </c>
      <c r="E380" t="s">
        <v>53</v>
      </c>
      <c r="F380" s="9">
        <v>45769</v>
      </c>
      <c r="G380" s="9">
        <v>45626</v>
      </c>
      <c r="H380" t="s">
        <v>60</v>
      </c>
      <c r="I380" t="s">
        <v>89</v>
      </c>
      <c r="J380" t="s">
        <v>92</v>
      </c>
      <c r="K380" t="s">
        <v>54</v>
      </c>
      <c r="L380" t="s">
        <v>55</v>
      </c>
      <c r="M380" t="s">
        <v>66</v>
      </c>
      <c r="N380">
        <v>3</v>
      </c>
      <c r="O380" t="s">
        <v>64</v>
      </c>
      <c r="P380" t="s">
        <v>54</v>
      </c>
      <c r="Q380" s="9">
        <v>45671</v>
      </c>
      <c r="R380" t="s">
        <v>57</v>
      </c>
      <c r="S380">
        <v>5</v>
      </c>
      <c r="T380">
        <v>2</v>
      </c>
      <c r="U380">
        <v>3</v>
      </c>
      <c r="V380" t="s">
        <v>64</v>
      </c>
      <c r="W380">
        <v>1</v>
      </c>
      <c r="X380" t="s">
        <v>54</v>
      </c>
      <c r="Y380" t="s">
        <v>76</v>
      </c>
      <c r="Z380" t="s">
        <v>242</v>
      </c>
      <c r="AA380">
        <v>21</v>
      </c>
      <c r="AB380" t="s">
        <v>61</v>
      </c>
      <c r="AC380" t="s">
        <v>180</v>
      </c>
      <c r="AD380" t="s">
        <v>207</v>
      </c>
      <c r="AE380" t="s">
        <v>237</v>
      </c>
    </row>
    <row r="381" spans="1:31" x14ac:dyDescent="0.3">
      <c r="A381" t="s">
        <v>950</v>
      </c>
      <c r="B381" t="s">
        <v>951</v>
      </c>
      <c r="C381" t="s">
        <v>54</v>
      </c>
      <c r="D381" t="s">
        <v>158</v>
      </c>
      <c r="E381" t="s">
        <v>63</v>
      </c>
      <c r="F381" s="9">
        <v>45827</v>
      </c>
      <c r="G381" s="9">
        <v>45707</v>
      </c>
      <c r="H381" t="s">
        <v>70</v>
      </c>
      <c r="I381" t="s">
        <v>93</v>
      </c>
      <c r="J381" t="s">
        <v>85</v>
      </c>
      <c r="K381" t="s">
        <v>54</v>
      </c>
      <c r="L381" t="s">
        <v>55</v>
      </c>
      <c r="M381" t="s">
        <v>66</v>
      </c>
      <c r="N381">
        <v>5</v>
      </c>
      <c r="O381" t="s">
        <v>64</v>
      </c>
      <c r="P381" t="s">
        <v>64</v>
      </c>
      <c r="Q381" s="9"/>
      <c r="R381" t="s">
        <v>190</v>
      </c>
      <c r="V381" t="s">
        <v>190</v>
      </c>
      <c r="W381">
        <v>4</v>
      </c>
      <c r="X381" t="s">
        <v>64</v>
      </c>
      <c r="Y381" t="s">
        <v>190</v>
      </c>
      <c r="Z381" t="s">
        <v>190</v>
      </c>
      <c r="AA381">
        <v>19.5</v>
      </c>
      <c r="AB381" t="s">
        <v>71</v>
      </c>
      <c r="AC381" t="s">
        <v>181</v>
      </c>
      <c r="AD381" t="s">
        <v>192</v>
      </c>
      <c r="AE381" t="s">
        <v>192</v>
      </c>
    </row>
    <row r="382" spans="1:31" x14ac:dyDescent="0.3">
      <c r="A382" t="s">
        <v>952</v>
      </c>
      <c r="B382" t="s">
        <v>953</v>
      </c>
      <c r="C382" t="s">
        <v>54</v>
      </c>
      <c r="D382" t="s">
        <v>158</v>
      </c>
      <c r="E382" t="s">
        <v>63</v>
      </c>
      <c r="F382" s="9">
        <v>45846</v>
      </c>
      <c r="G382" s="9">
        <v>45723</v>
      </c>
      <c r="H382" t="s">
        <v>60</v>
      </c>
      <c r="I382" t="s">
        <v>89</v>
      </c>
      <c r="J382" t="s">
        <v>77</v>
      </c>
      <c r="K382" t="s">
        <v>54</v>
      </c>
      <c r="L382" t="s">
        <v>65</v>
      </c>
      <c r="M382" t="s">
        <v>954</v>
      </c>
      <c r="N382">
        <v>7</v>
      </c>
      <c r="O382" t="s">
        <v>64</v>
      </c>
      <c r="P382" t="s">
        <v>54</v>
      </c>
      <c r="Q382" s="9">
        <v>45830</v>
      </c>
      <c r="R382" t="s">
        <v>75</v>
      </c>
      <c r="S382">
        <v>3</v>
      </c>
      <c r="T382">
        <v>3</v>
      </c>
      <c r="U382">
        <v>4</v>
      </c>
      <c r="V382" t="s">
        <v>64</v>
      </c>
      <c r="W382">
        <v>4</v>
      </c>
      <c r="X382" t="s">
        <v>64</v>
      </c>
      <c r="Y382" t="s">
        <v>190</v>
      </c>
      <c r="Z382" t="s">
        <v>190</v>
      </c>
      <c r="AA382">
        <v>15.7</v>
      </c>
      <c r="AB382" t="s">
        <v>61</v>
      </c>
      <c r="AC382" t="s">
        <v>181</v>
      </c>
      <c r="AD382" t="s">
        <v>191</v>
      </c>
      <c r="AE382" t="s">
        <v>192</v>
      </c>
    </row>
    <row r="383" spans="1:31" x14ac:dyDescent="0.3">
      <c r="A383" t="s">
        <v>955</v>
      </c>
      <c r="B383" t="s">
        <v>956</v>
      </c>
      <c r="C383" t="s">
        <v>54</v>
      </c>
      <c r="D383" t="s">
        <v>158</v>
      </c>
      <c r="E383" t="s">
        <v>63</v>
      </c>
      <c r="F383" s="9">
        <v>45873</v>
      </c>
      <c r="G383" s="9">
        <v>45839</v>
      </c>
      <c r="H383" t="s">
        <v>60</v>
      </c>
      <c r="I383" t="s">
        <v>89</v>
      </c>
      <c r="J383" t="s">
        <v>59</v>
      </c>
      <c r="K383" t="s">
        <v>54</v>
      </c>
      <c r="L383" t="s">
        <v>65</v>
      </c>
      <c r="M383" t="s">
        <v>66</v>
      </c>
      <c r="N383">
        <v>5</v>
      </c>
      <c r="O383" t="s">
        <v>64</v>
      </c>
      <c r="P383" t="s">
        <v>64</v>
      </c>
      <c r="Q383" s="9"/>
      <c r="R383" t="s">
        <v>190</v>
      </c>
      <c r="V383" t="s">
        <v>190</v>
      </c>
      <c r="W383">
        <v>4</v>
      </c>
      <c r="X383" t="s">
        <v>64</v>
      </c>
      <c r="Y383" t="s">
        <v>190</v>
      </c>
      <c r="Z383" t="s">
        <v>190</v>
      </c>
      <c r="AA383">
        <v>21.1</v>
      </c>
      <c r="AB383" t="s">
        <v>61</v>
      </c>
      <c r="AC383" t="s">
        <v>181</v>
      </c>
      <c r="AD383" t="s">
        <v>192</v>
      </c>
      <c r="AE383" t="s">
        <v>192</v>
      </c>
    </row>
    <row r="384" spans="1:31" x14ac:dyDescent="0.3">
      <c r="A384" t="s">
        <v>957</v>
      </c>
      <c r="B384" t="s">
        <v>958</v>
      </c>
      <c r="C384" t="s">
        <v>54</v>
      </c>
      <c r="D384" t="s">
        <v>158</v>
      </c>
      <c r="E384" t="s">
        <v>63</v>
      </c>
      <c r="F384" s="9">
        <v>45882</v>
      </c>
      <c r="G384" s="9">
        <v>45817</v>
      </c>
      <c r="H384" t="s">
        <v>50</v>
      </c>
      <c r="I384" t="s">
        <v>62</v>
      </c>
      <c r="J384" t="s">
        <v>85</v>
      </c>
      <c r="K384" t="s">
        <v>54</v>
      </c>
      <c r="L384" t="s">
        <v>65</v>
      </c>
      <c r="M384" t="s">
        <v>56</v>
      </c>
      <c r="N384">
        <v>4</v>
      </c>
      <c r="O384" t="s">
        <v>64</v>
      </c>
      <c r="P384" t="s">
        <v>54</v>
      </c>
      <c r="Q384" s="9">
        <v>45837</v>
      </c>
      <c r="R384" t="s">
        <v>67</v>
      </c>
      <c r="S384">
        <v>4</v>
      </c>
      <c r="T384">
        <v>1</v>
      </c>
      <c r="U384">
        <v>2</v>
      </c>
      <c r="V384" t="s">
        <v>54</v>
      </c>
      <c r="W384">
        <v>4</v>
      </c>
      <c r="X384" t="s">
        <v>54</v>
      </c>
      <c r="Y384" t="s">
        <v>58</v>
      </c>
      <c r="Z384" t="s">
        <v>190</v>
      </c>
      <c r="AA384">
        <v>17.7</v>
      </c>
      <c r="AB384" t="s">
        <v>51</v>
      </c>
      <c r="AC384" t="s">
        <v>181</v>
      </c>
      <c r="AD384" t="s">
        <v>201</v>
      </c>
      <c r="AE384" t="s">
        <v>222</v>
      </c>
    </row>
    <row r="385" spans="1:31" x14ac:dyDescent="0.3">
      <c r="A385" t="s">
        <v>959</v>
      </c>
      <c r="B385" t="s">
        <v>608</v>
      </c>
      <c r="C385" t="s">
        <v>54</v>
      </c>
      <c r="D385" t="s">
        <v>158</v>
      </c>
      <c r="E385" t="s">
        <v>63</v>
      </c>
      <c r="F385" s="9">
        <v>45811</v>
      </c>
      <c r="G385" s="9">
        <v>45775</v>
      </c>
      <c r="H385" t="s">
        <v>70</v>
      </c>
      <c r="I385" t="s">
        <v>95</v>
      </c>
      <c r="J385" t="s">
        <v>59</v>
      </c>
      <c r="K385" t="s">
        <v>54</v>
      </c>
      <c r="L385" t="s">
        <v>73</v>
      </c>
      <c r="M385" t="s">
        <v>56</v>
      </c>
      <c r="N385">
        <v>9</v>
      </c>
      <c r="O385" t="s">
        <v>64</v>
      </c>
      <c r="P385" t="s">
        <v>54</v>
      </c>
      <c r="Q385" s="9">
        <v>45811</v>
      </c>
      <c r="R385" t="s">
        <v>75</v>
      </c>
      <c r="S385">
        <v>4</v>
      </c>
      <c r="T385">
        <v>4</v>
      </c>
      <c r="U385">
        <v>5</v>
      </c>
      <c r="V385" t="s">
        <v>54</v>
      </c>
      <c r="W385">
        <v>3</v>
      </c>
      <c r="X385" t="s">
        <v>64</v>
      </c>
      <c r="Y385" t="s">
        <v>190</v>
      </c>
      <c r="Z385" t="s">
        <v>190</v>
      </c>
      <c r="AA385">
        <v>23.1</v>
      </c>
      <c r="AB385" t="s">
        <v>71</v>
      </c>
      <c r="AC385" t="s">
        <v>181</v>
      </c>
      <c r="AD385" t="s">
        <v>191</v>
      </c>
      <c r="AE385" t="s">
        <v>192</v>
      </c>
    </row>
    <row r="386" spans="1:31" x14ac:dyDescent="0.3">
      <c r="A386" t="s">
        <v>960</v>
      </c>
      <c r="B386" t="s">
        <v>961</v>
      </c>
      <c r="C386" t="s">
        <v>54</v>
      </c>
      <c r="D386" t="s">
        <v>158</v>
      </c>
      <c r="E386" t="s">
        <v>63</v>
      </c>
      <c r="F386" s="9">
        <v>45831</v>
      </c>
      <c r="G386" s="9">
        <v>45731</v>
      </c>
      <c r="H386" t="s">
        <v>70</v>
      </c>
      <c r="I386" t="s">
        <v>91</v>
      </c>
      <c r="J386" t="s">
        <v>88</v>
      </c>
      <c r="K386" t="s">
        <v>54</v>
      </c>
      <c r="L386" t="s">
        <v>73</v>
      </c>
      <c r="M386" t="s">
        <v>66</v>
      </c>
      <c r="N386">
        <v>5</v>
      </c>
      <c r="O386" t="s">
        <v>54</v>
      </c>
      <c r="P386" t="s">
        <v>54</v>
      </c>
      <c r="Q386" s="9">
        <v>45755</v>
      </c>
      <c r="R386" t="s">
        <v>67</v>
      </c>
      <c r="S386">
        <v>4</v>
      </c>
      <c r="T386">
        <v>4</v>
      </c>
      <c r="U386">
        <v>5</v>
      </c>
      <c r="V386" t="s">
        <v>54</v>
      </c>
      <c r="W386">
        <v>2</v>
      </c>
      <c r="X386" t="s">
        <v>54</v>
      </c>
      <c r="Y386" t="s">
        <v>76</v>
      </c>
      <c r="Z386" t="s">
        <v>432</v>
      </c>
      <c r="AA386">
        <v>12.4</v>
      </c>
      <c r="AB386" t="s">
        <v>71</v>
      </c>
      <c r="AC386" t="s">
        <v>181</v>
      </c>
      <c r="AD386" t="s">
        <v>201</v>
      </c>
      <c r="AE386" t="s">
        <v>237</v>
      </c>
    </row>
    <row r="387" spans="1:31" x14ac:dyDescent="0.3">
      <c r="A387" t="s">
        <v>962</v>
      </c>
      <c r="B387" t="s">
        <v>963</v>
      </c>
      <c r="C387" t="s">
        <v>54</v>
      </c>
      <c r="D387" t="s">
        <v>158</v>
      </c>
      <c r="E387" t="s">
        <v>53</v>
      </c>
      <c r="F387" s="9">
        <v>45851</v>
      </c>
      <c r="G387" s="9">
        <v>45799</v>
      </c>
      <c r="H387" t="s">
        <v>50</v>
      </c>
      <c r="I387" t="s">
        <v>62</v>
      </c>
      <c r="J387" t="s">
        <v>90</v>
      </c>
      <c r="K387" t="s">
        <v>54</v>
      </c>
      <c r="L387" t="s">
        <v>55</v>
      </c>
      <c r="M387" t="s">
        <v>56</v>
      </c>
      <c r="N387">
        <v>5</v>
      </c>
      <c r="O387" t="s">
        <v>64</v>
      </c>
      <c r="P387" t="s">
        <v>64</v>
      </c>
      <c r="Q387" s="9"/>
      <c r="R387" t="s">
        <v>190</v>
      </c>
      <c r="V387" t="s">
        <v>190</v>
      </c>
      <c r="W387">
        <v>4</v>
      </c>
      <c r="X387" t="s">
        <v>64</v>
      </c>
      <c r="Y387" t="s">
        <v>190</v>
      </c>
      <c r="Z387" t="s">
        <v>190</v>
      </c>
      <c r="AA387">
        <v>24.6</v>
      </c>
      <c r="AB387" t="s">
        <v>51</v>
      </c>
      <c r="AC387" t="s">
        <v>180</v>
      </c>
      <c r="AD387" t="s">
        <v>192</v>
      </c>
      <c r="AE387" t="s">
        <v>192</v>
      </c>
    </row>
    <row r="388" spans="1:31" x14ac:dyDescent="0.3">
      <c r="A388" t="s">
        <v>964</v>
      </c>
      <c r="B388" t="s">
        <v>965</v>
      </c>
      <c r="C388" t="s">
        <v>54</v>
      </c>
      <c r="D388" t="s">
        <v>158</v>
      </c>
      <c r="E388" t="s">
        <v>63</v>
      </c>
      <c r="F388" s="9">
        <v>45823</v>
      </c>
      <c r="G388" s="9">
        <v>45786</v>
      </c>
      <c r="H388" t="s">
        <v>50</v>
      </c>
      <c r="I388" t="s">
        <v>52</v>
      </c>
      <c r="J388" t="s">
        <v>85</v>
      </c>
      <c r="K388" t="s">
        <v>54</v>
      </c>
      <c r="L388" t="s">
        <v>55</v>
      </c>
      <c r="M388" t="s">
        <v>56</v>
      </c>
      <c r="N388">
        <v>5</v>
      </c>
      <c r="O388" t="s">
        <v>64</v>
      </c>
      <c r="P388" t="s">
        <v>54</v>
      </c>
      <c r="Q388" s="9">
        <v>45806</v>
      </c>
      <c r="R388" t="s">
        <v>75</v>
      </c>
      <c r="S388">
        <v>3</v>
      </c>
      <c r="T388">
        <v>4</v>
      </c>
      <c r="U388">
        <v>4</v>
      </c>
      <c r="V388" t="s">
        <v>54</v>
      </c>
      <c r="W388">
        <v>5</v>
      </c>
      <c r="X388" t="s">
        <v>64</v>
      </c>
      <c r="Y388" t="s">
        <v>190</v>
      </c>
      <c r="Z388" t="s">
        <v>305</v>
      </c>
      <c r="AA388">
        <v>12.9</v>
      </c>
      <c r="AB388" t="s">
        <v>51</v>
      </c>
      <c r="AC388" t="s">
        <v>181</v>
      </c>
      <c r="AD388" t="s">
        <v>191</v>
      </c>
      <c r="AE388" t="s">
        <v>192</v>
      </c>
    </row>
    <row r="389" spans="1:31" x14ac:dyDescent="0.3">
      <c r="A389" t="s">
        <v>966</v>
      </c>
      <c r="B389" t="s">
        <v>967</v>
      </c>
      <c r="C389" t="s">
        <v>54</v>
      </c>
      <c r="D389" t="s">
        <v>158</v>
      </c>
      <c r="E389" t="s">
        <v>63</v>
      </c>
      <c r="F389" s="9">
        <v>45781</v>
      </c>
      <c r="G389" s="9">
        <v>45645</v>
      </c>
      <c r="H389" t="s">
        <v>70</v>
      </c>
      <c r="I389" t="s">
        <v>95</v>
      </c>
      <c r="J389" t="s">
        <v>77</v>
      </c>
      <c r="K389" t="s">
        <v>54</v>
      </c>
      <c r="L389" t="s">
        <v>87</v>
      </c>
      <c r="M389" t="s">
        <v>66</v>
      </c>
      <c r="N389">
        <v>3</v>
      </c>
      <c r="O389" t="s">
        <v>64</v>
      </c>
      <c r="P389" t="s">
        <v>54</v>
      </c>
      <c r="Q389" s="9">
        <v>45667</v>
      </c>
      <c r="R389" t="s">
        <v>57</v>
      </c>
      <c r="S389">
        <v>5</v>
      </c>
      <c r="T389">
        <v>1</v>
      </c>
      <c r="U389">
        <v>2</v>
      </c>
      <c r="V389" t="s">
        <v>54</v>
      </c>
      <c r="W389">
        <v>2</v>
      </c>
      <c r="X389" t="s">
        <v>54</v>
      </c>
      <c r="Y389" t="s">
        <v>58</v>
      </c>
      <c r="Z389" t="s">
        <v>190</v>
      </c>
      <c r="AA389">
        <v>15.3</v>
      </c>
      <c r="AB389" t="s">
        <v>71</v>
      </c>
      <c r="AC389" t="s">
        <v>181</v>
      </c>
      <c r="AD389" t="s">
        <v>207</v>
      </c>
      <c r="AE389" t="s">
        <v>222</v>
      </c>
    </row>
    <row r="390" spans="1:31" x14ac:dyDescent="0.3">
      <c r="A390" t="s">
        <v>968</v>
      </c>
      <c r="B390" t="s">
        <v>969</v>
      </c>
      <c r="C390" t="s">
        <v>54</v>
      </c>
      <c r="D390" t="s">
        <v>158</v>
      </c>
      <c r="E390" t="s">
        <v>63</v>
      </c>
      <c r="F390" s="9">
        <v>45818</v>
      </c>
      <c r="G390" s="9">
        <v>45788</v>
      </c>
      <c r="H390" t="s">
        <v>70</v>
      </c>
      <c r="I390" t="s">
        <v>95</v>
      </c>
      <c r="J390" t="s">
        <v>90</v>
      </c>
      <c r="K390" t="s">
        <v>54</v>
      </c>
      <c r="L390" t="s">
        <v>65</v>
      </c>
      <c r="M390" t="s">
        <v>66</v>
      </c>
      <c r="N390">
        <v>6</v>
      </c>
      <c r="O390" t="s">
        <v>64</v>
      </c>
      <c r="P390" t="s">
        <v>54</v>
      </c>
      <c r="Q390" s="9">
        <v>45808</v>
      </c>
      <c r="R390" t="s">
        <v>67</v>
      </c>
      <c r="S390">
        <v>4</v>
      </c>
      <c r="T390">
        <v>1</v>
      </c>
      <c r="U390">
        <v>2</v>
      </c>
      <c r="V390" t="s">
        <v>64</v>
      </c>
      <c r="W390">
        <v>3</v>
      </c>
      <c r="X390" t="s">
        <v>64</v>
      </c>
      <c r="Y390" t="s">
        <v>190</v>
      </c>
      <c r="Z390" t="s">
        <v>190</v>
      </c>
      <c r="AA390">
        <v>14.2</v>
      </c>
      <c r="AB390" t="s">
        <v>71</v>
      </c>
      <c r="AC390" t="s">
        <v>181</v>
      </c>
      <c r="AD390" t="s">
        <v>201</v>
      </c>
      <c r="AE390" t="s">
        <v>192</v>
      </c>
    </row>
    <row r="391" spans="1:31" x14ac:dyDescent="0.3">
      <c r="A391" t="s">
        <v>970</v>
      </c>
      <c r="B391" t="s">
        <v>971</v>
      </c>
      <c r="C391" t="s">
        <v>54</v>
      </c>
      <c r="D391" t="s">
        <v>158</v>
      </c>
      <c r="E391" t="s">
        <v>53</v>
      </c>
      <c r="F391" s="9">
        <v>45756</v>
      </c>
      <c r="G391" s="9">
        <v>45622</v>
      </c>
      <c r="H391" t="s">
        <v>60</v>
      </c>
      <c r="I391" t="s">
        <v>86</v>
      </c>
      <c r="J391" t="s">
        <v>88</v>
      </c>
      <c r="K391" t="s">
        <v>54</v>
      </c>
      <c r="L391" t="s">
        <v>65</v>
      </c>
      <c r="M391" t="s">
        <v>66</v>
      </c>
      <c r="N391">
        <v>7</v>
      </c>
      <c r="O391" t="s">
        <v>64</v>
      </c>
      <c r="P391" t="s">
        <v>54</v>
      </c>
      <c r="Q391" s="9">
        <v>45671</v>
      </c>
      <c r="R391" t="s">
        <v>67</v>
      </c>
      <c r="S391">
        <v>4</v>
      </c>
      <c r="T391">
        <v>1</v>
      </c>
      <c r="U391">
        <v>2</v>
      </c>
      <c r="V391" t="s">
        <v>54</v>
      </c>
      <c r="W391">
        <v>4</v>
      </c>
      <c r="X391" t="s">
        <v>64</v>
      </c>
      <c r="Y391" t="s">
        <v>190</v>
      </c>
      <c r="Z391" t="s">
        <v>190</v>
      </c>
      <c r="AA391">
        <v>20.3</v>
      </c>
      <c r="AB391" t="s">
        <v>61</v>
      </c>
      <c r="AC391" t="s">
        <v>180</v>
      </c>
      <c r="AD391" t="s">
        <v>201</v>
      </c>
      <c r="AE391" t="s">
        <v>192</v>
      </c>
    </row>
    <row r="392" spans="1:31" x14ac:dyDescent="0.3">
      <c r="A392" t="s">
        <v>972</v>
      </c>
      <c r="B392" t="s">
        <v>973</v>
      </c>
      <c r="C392" t="s">
        <v>54</v>
      </c>
      <c r="D392" t="s">
        <v>158</v>
      </c>
      <c r="E392" t="s">
        <v>63</v>
      </c>
      <c r="F392" s="9">
        <v>45766</v>
      </c>
      <c r="G392" s="9">
        <v>45710</v>
      </c>
      <c r="H392" t="s">
        <v>70</v>
      </c>
      <c r="I392" t="s">
        <v>95</v>
      </c>
      <c r="J392" t="s">
        <v>85</v>
      </c>
      <c r="K392" t="s">
        <v>54</v>
      </c>
      <c r="L392" t="s">
        <v>73</v>
      </c>
      <c r="M392" t="s">
        <v>66</v>
      </c>
      <c r="N392">
        <v>5</v>
      </c>
      <c r="O392" t="s">
        <v>64</v>
      </c>
      <c r="P392" t="s">
        <v>54</v>
      </c>
      <c r="Q392" s="9">
        <v>45762</v>
      </c>
      <c r="R392" t="s">
        <v>57</v>
      </c>
      <c r="S392">
        <v>4</v>
      </c>
      <c r="T392">
        <v>3</v>
      </c>
      <c r="U392">
        <v>4</v>
      </c>
      <c r="V392" t="s">
        <v>54</v>
      </c>
      <c r="W392">
        <v>4</v>
      </c>
      <c r="X392" t="s">
        <v>54</v>
      </c>
      <c r="Y392" t="s">
        <v>58</v>
      </c>
      <c r="Z392" t="s">
        <v>190</v>
      </c>
      <c r="AA392">
        <v>23.6</v>
      </c>
      <c r="AB392" t="s">
        <v>71</v>
      </c>
      <c r="AC392" t="s">
        <v>181</v>
      </c>
      <c r="AD392" t="s">
        <v>207</v>
      </c>
      <c r="AE392" t="s">
        <v>222</v>
      </c>
    </row>
    <row r="393" spans="1:31" x14ac:dyDescent="0.3">
      <c r="A393" t="s">
        <v>974</v>
      </c>
      <c r="B393" t="s">
        <v>975</v>
      </c>
      <c r="C393" t="s">
        <v>54</v>
      </c>
      <c r="D393" t="s">
        <v>158</v>
      </c>
      <c r="E393" t="s">
        <v>53</v>
      </c>
      <c r="F393" s="9">
        <v>45780</v>
      </c>
      <c r="G393" s="9">
        <v>45726</v>
      </c>
      <c r="H393" t="s">
        <v>78</v>
      </c>
      <c r="I393" t="s">
        <v>96</v>
      </c>
      <c r="J393" t="s">
        <v>90</v>
      </c>
      <c r="K393" t="s">
        <v>54</v>
      </c>
      <c r="L393" t="s">
        <v>55</v>
      </c>
      <c r="M393" t="s">
        <v>66</v>
      </c>
      <c r="N393">
        <v>3</v>
      </c>
      <c r="O393" t="s">
        <v>64</v>
      </c>
      <c r="P393" t="s">
        <v>54</v>
      </c>
      <c r="Q393" s="9">
        <v>45775</v>
      </c>
      <c r="R393" t="s">
        <v>57</v>
      </c>
      <c r="S393">
        <v>2</v>
      </c>
      <c r="T393">
        <v>2</v>
      </c>
      <c r="U393">
        <v>3</v>
      </c>
      <c r="V393" t="s">
        <v>64</v>
      </c>
      <c r="W393">
        <v>4</v>
      </c>
      <c r="X393" t="s">
        <v>64</v>
      </c>
      <c r="Y393" t="s">
        <v>190</v>
      </c>
      <c r="Z393" t="s">
        <v>327</v>
      </c>
      <c r="AA393">
        <v>19.899999999999999</v>
      </c>
      <c r="AB393" t="s">
        <v>79</v>
      </c>
      <c r="AC393" t="s">
        <v>180</v>
      </c>
      <c r="AD393" t="s">
        <v>207</v>
      </c>
      <c r="AE393" t="s">
        <v>192</v>
      </c>
    </row>
    <row r="394" spans="1:31" x14ac:dyDescent="0.3">
      <c r="A394" t="s">
        <v>976</v>
      </c>
      <c r="B394" t="s">
        <v>977</v>
      </c>
      <c r="C394" t="s">
        <v>54</v>
      </c>
      <c r="D394" t="s">
        <v>158</v>
      </c>
      <c r="E394" t="s">
        <v>63</v>
      </c>
      <c r="F394" s="9">
        <v>45909</v>
      </c>
      <c r="G394" s="9">
        <v>45829</v>
      </c>
      <c r="H394" t="s">
        <v>60</v>
      </c>
      <c r="I394" t="s">
        <v>89</v>
      </c>
      <c r="J394" t="s">
        <v>77</v>
      </c>
      <c r="K394" t="s">
        <v>54</v>
      </c>
      <c r="L394" t="s">
        <v>81</v>
      </c>
      <c r="M394" t="s">
        <v>56</v>
      </c>
      <c r="N394">
        <v>4</v>
      </c>
      <c r="O394" t="s">
        <v>54</v>
      </c>
      <c r="P394" t="s">
        <v>64</v>
      </c>
      <c r="Q394" s="9"/>
      <c r="R394" t="s">
        <v>190</v>
      </c>
      <c r="V394" t="s">
        <v>190</v>
      </c>
      <c r="W394">
        <v>3</v>
      </c>
      <c r="X394" t="s">
        <v>64</v>
      </c>
      <c r="Y394" t="s">
        <v>190</v>
      </c>
      <c r="Z394" t="s">
        <v>190</v>
      </c>
      <c r="AA394">
        <v>25.3</v>
      </c>
      <c r="AB394" t="s">
        <v>61</v>
      </c>
      <c r="AC394" t="s">
        <v>181</v>
      </c>
      <c r="AD394" t="s">
        <v>192</v>
      </c>
      <c r="AE394" t="s">
        <v>192</v>
      </c>
    </row>
    <row r="395" spans="1:31" x14ac:dyDescent="0.3">
      <c r="A395" t="s">
        <v>978</v>
      </c>
      <c r="B395" t="s">
        <v>979</v>
      </c>
      <c r="C395" t="s">
        <v>54</v>
      </c>
      <c r="D395" t="s">
        <v>158</v>
      </c>
      <c r="E395" t="s">
        <v>53</v>
      </c>
      <c r="F395" s="9">
        <v>45757</v>
      </c>
      <c r="G395" s="9">
        <v>45700</v>
      </c>
      <c r="H395" t="s">
        <v>60</v>
      </c>
      <c r="I395" t="s">
        <v>80</v>
      </c>
      <c r="J395" t="s">
        <v>88</v>
      </c>
      <c r="K395" t="s">
        <v>54</v>
      </c>
      <c r="L395" t="s">
        <v>65</v>
      </c>
      <c r="M395" t="s">
        <v>56</v>
      </c>
      <c r="N395">
        <v>6</v>
      </c>
      <c r="O395" t="s">
        <v>64</v>
      </c>
      <c r="P395" t="s">
        <v>54</v>
      </c>
      <c r="Q395" s="9">
        <v>45730</v>
      </c>
      <c r="R395" t="s">
        <v>75</v>
      </c>
      <c r="S395">
        <v>5</v>
      </c>
      <c r="T395">
        <v>2</v>
      </c>
      <c r="U395">
        <v>4</v>
      </c>
      <c r="V395" t="s">
        <v>54</v>
      </c>
      <c r="W395">
        <v>3</v>
      </c>
      <c r="X395" t="s">
        <v>54</v>
      </c>
      <c r="Y395" t="s">
        <v>58</v>
      </c>
      <c r="Z395" t="s">
        <v>190</v>
      </c>
      <c r="AA395">
        <v>18.399999999999999</v>
      </c>
      <c r="AB395" t="s">
        <v>61</v>
      </c>
      <c r="AC395" t="s">
        <v>180</v>
      </c>
      <c r="AD395" t="s">
        <v>191</v>
      </c>
      <c r="AE395" t="s">
        <v>222</v>
      </c>
    </row>
    <row r="396" spans="1:31" x14ac:dyDescent="0.3">
      <c r="A396" t="s">
        <v>980</v>
      </c>
      <c r="B396" t="s">
        <v>981</v>
      </c>
      <c r="C396" t="s">
        <v>54</v>
      </c>
      <c r="D396" t="s">
        <v>158</v>
      </c>
      <c r="E396" t="s">
        <v>63</v>
      </c>
      <c r="F396" s="9">
        <v>45853</v>
      </c>
      <c r="G396" s="9">
        <v>45778</v>
      </c>
      <c r="H396" t="s">
        <v>50</v>
      </c>
      <c r="I396" t="s">
        <v>72</v>
      </c>
      <c r="J396" t="s">
        <v>90</v>
      </c>
      <c r="K396" t="s">
        <v>54</v>
      </c>
      <c r="L396" t="s">
        <v>65</v>
      </c>
      <c r="M396" t="s">
        <v>66</v>
      </c>
      <c r="N396">
        <v>5</v>
      </c>
      <c r="O396" t="s">
        <v>64</v>
      </c>
      <c r="P396" t="s">
        <v>54</v>
      </c>
      <c r="Q396" s="9">
        <v>45847</v>
      </c>
      <c r="R396" t="s">
        <v>57</v>
      </c>
      <c r="S396">
        <v>5</v>
      </c>
      <c r="T396">
        <v>3</v>
      </c>
      <c r="U396">
        <v>4</v>
      </c>
      <c r="V396" t="s">
        <v>54</v>
      </c>
      <c r="W396">
        <v>4</v>
      </c>
      <c r="X396" t="s">
        <v>54</v>
      </c>
      <c r="Y396" t="s">
        <v>76</v>
      </c>
      <c r="Z396" t="s">
        <v>190</v>
      </c>
      <c r="AA396">
        <v>17.3</v>
      </c>
      <c r="AB396" t="s">
        <v>51</v>
      </c>
      <c r="AC396" t="s">
        <v>181</v>
      </c>
      <c r="AD396" t="s">
        <v>207</v>
      </c>
      <c r="AE396" t="s">
        <v>237</v>
      </c>
    </row>
    <row r="397" spans="1:31" x14ac:dyDescent="0.3">
      <c r="A397" t="s">
        <v>982</v>
      </c>
      <c r="B397" t="s">
        <v>983</v>
      </c>
      <c r="C397" t="s">
        <v>54</v>
      </c>
      <c r="D397" t="s">
        <v>158</v>
      </c>
      <c r="E397" t="s">
        <v>53</v>
      </c>
      <c r="F397" s="9">
        <v>45827</v>
      </c>
      <c r="G397" s="9">
        <v>45778</v>
      </c>
      <c r="H397" t="s">
        <v>70</v>
      </c>
      <c r="I397" t="s">
        <v>93</v>
      </c>
      <c r="J397" t="s">
        <v>59</v>
      </c>
      <c r="K397" t="s">
        <v>54</v>
      </c>
      <c r="L397" t="s">
        <v>81</v>
      </c>
      <c r="M397" t="s">
        <v>66</v>
      </c>
      <c r="N397">
        <v>2</v>
      </c>
      <c r="O397" t="s">
        <v>64</v>
      </c>
      <c r="P397" t="s">
        <v>54</v>
      </c>
      <c r="Q397" s="9">
        <v>45788</v>
      </c>
      <c r="R397" t="s">
        <v>75</v>
      </c>
      <c r="S397">
        <v>4</v>
      </c>
      <c r="T397">
        <v>1</v>
      </c>
      <c r="U397">
        <v>2</v>
      </c>
      <c r="V397" t="s">
        <v>54</v>
      </c>
      <c r="W397">
        <v>4</v>
      </c>
      <c r="X397" t="s">
        <v>64</v>
      </c>
      <c r="Y397" t="s">
        <v>190</v>
      </c>
      <c r="Z397" t="s">
        <v>190</v>
      </c>
      <c r="AA397">
        <v>16.899999999999999</v>
      </c>
      <c r="AB397" t="s">
        <v>71</v>
      </c>
      <c r="AC397" t="s">
        <v>180</v>
      </c>
      <c r="AD397" t="s">
        <v>191</v>
      </c>
      <c r="AE397" t="s">
        <v>192</v>
      </c>
    </row>
    <row r="398" spans="1:31" x14ac:dyDescent="0.3">
      <c r="A398" t="s">
        <v>984</v>
      </c>
      <c r="B398" t="s">
        <v>985</v>
      </c>
      <c r="C398" t="s">
        <v>54</v>
      </c>
      <c r="D398" t="s">
        <v>158</v>
      </c>
      <c r="E398" t="s">
        <v>53</v>
      </c>
      <c r="F398" s="9">
        <v>45820</v>
      </c>
      <c r="G398" s="9">
        <v>45745</v>
      </c>
      <c r="H398" t="s">
        <v>70</v>
      </c>
      <c r="I398" t="s">
        <v>91</v>
      </c>
      <c r="J398" t="s">
        <v>92</v>
      </c>
      <c r="K398" t="s">
        <v>54</v>
      </c>
      <c r="L398" t="s">
        <v>65</v>
      </c>
      <c r="M398" t="s">
        <v>66</v>
      </c>
      <c r="N398">
        <v>4</v>
      </c>
      <c r="O398" t="s">
        <v>64</v>
      </c>
      <c r="P398" t="s">
        <v>54</v>
      </c>
      <c r="Q398" s="9">
        <v>45776</v>
      </c>
      <c r="R398" t="s">
        <v>83</v>
      </c>
      <c r="S398">
        <v>2</v>
      </c>
      <c r="T398">
        <v>1</v>
      </c>
      <c r="U398">
        <v>3</v>
      </c>
      <c r="V398" t="s">
        <v>54</v>
      </c>
      <c r="W398">
        <v>5</v>
      </c>
      <c r="X398" t="s">
        <v>54</v>
      </c>
      <c r="Y398" t="s">
        <v>68</v>
      </c>
      <c r="Z398" t="s">
        <v>190</v>
      </c>
      <c r="AA398">
        <v>11.7</v>
      </c>
      <c r="AB398" t="s">
        <v>71</v>
      </c>
      <c r="AC398" t="s">
        <v>180</v>
      </c>
      <c r="AD398" t="s">
        <v>196</v>
      </c>
      <c r="AE398" t="s">
        <v>243</v>
      </c>
    </row>
    <row r="399" spans="1:31" x14ac:dyDescent="0.3">
      <c r="A399" t="s">
        <v>986</v>
      </c>
      <c r="B399" t="s">
        <v>987</v>
      </c>
      <c r="C399" t="s">
        <v>54</v>
      </c>
      <c r="D399" t="s">
        <v>158</v>
      </c>
      <c r="E399" t="s">
        <v>63</v>
      </c>
      <c r="F399" s="9">
        <v>45817</v>
      </c>
      <c r="G399" s="9">
        <v>45771</v>
      </c>
      <c r="H399" t="s">
        <v>50</v>
      </c>
      <c r="I399" t="s">
        <v>62</v>
      </c>
      <c r="J399" t="s">
        <v>92</v>
      </c>
      <c r="K399" t="s">
        <v>54</v>
      </c>
      <c r="L399" t="s">
        <v>81</v>
      </c>
      <c r="M399" t="s">
        <v>56</v>
      </c>
      <c r="N399">
        <v>6</v>
      </c>
      <c r="O399" t="s">
        <v>64</v>
      </c>
      <c r="P399" t="s">
        <v>54</v>
      </c>
      <c r="Q399" s="9">
        <v>45784</v>
      </c>
      <c r="R399" t="s">
        <v>57</v>
      </c>
      <c r="S399">
        <v>4</v>
      </c>
      <c r="T399">
        <v>2</v>
      </c>
      <c r="U399">
        <v>3</v>
      </c>
      <c r="V399" t="s">
        <v>54</v>
      </c>
      <c r="W399">
        <v>3</v>
      </c>
      <c r="X399" t="s">
        <v>64</v>
      </c>
      <c r="Y399" t="s">
        <v>190</v>
      </c>
      <c r="Z399" t="s">
        <v>190</v>
      </c>
      <c r="AA399">
        <v>13.9</v>
      </c>
      <c r="AB399" t="s">
        <v>51</v>
      </c>
      <c r="AC399" t="s">
        <v>181</v>
      </c>
      <c r="AD399" t="s">
        <v>207</v>
      </c>
      <c r="AE399" t="s">
        <v>192</v>
      </c>
    </row>
    <row r="400" spans="1:31" x14ac:dyDescent="0.3">
      <c r="A400" t="s">
        <v>988</v>
      </c>
      <c r="B400" t="s">
        <v>989</v>
      </c>
      <c r="C400" t="s">
        <v>54</v>
      </c>
      <c r="D400" t="s">
        <v>158</v>
      </c>
      <c r="E400" t="s">
        <v>63</v>
      </c>
      <c r="F400" s="9">
        <v>45827</v>
      </c>
      <c r="G400" s="9">
        <v>45710</v>
      </c>
      <c r="H400" t="s">
        <v>70</v>
      </c>
      <c r="I400" t="s">
        <v>91</v>
      </c>
      <c r="J400" t="s">
        <v>90</v>
      </c>
      <c r="K400" t="s">
        <v>54</v>
      </c>
      <c r="L400" t="s">
        <v>73</v>
      </c>
      <c r="M400" t="s">
        <v>66</v>
      </c>
      <c r="N400">
        <v>3</v>
      </c>
      <c r="O400" t="s">
        <v>64</v>
      </c>
      <c r="P400" t="s">
        <v>64</v>
      </c>
      <c r="Q400" s="9"/>
      <c r="R400" t="s">
        <v>190</v>
      </c>
      <c r="V400" t="s">
        <v>190</v>
      </c>
      <c r="W400">
        <v>4</v>
      </c>
      <c r="X400" t="s">
        <v>64</v>
      </c>
      <c r="Y400" t="s">
        <v>190</v>
      </c>
      <c r="Z400" t="s">
        <v>190</v>
      </c>
      <c r="AA400">
        <v>27.5</v>
      </c>
      <c r="AB400" t="s">
        <v>71</v>
      </c>
      <c r="AC400" t="s">
        <v>181</v>
      </c>
      <c r="AD400" t="s">
        <v>192</v>
      </c>
      <c r="AE400" t="s">
        <v>192</v>
      </c>
    </row>
    <row r="401" spans="1:31" x14ac:dyDescent="0.3">
      <c r="A401" t="s">
        <v>990</v>
      </c>
      <c r="B401" t="s">
        <v>991</v>
      </c>
      <c r="C401" t="s">
        <v>54</v>
      </c>
      <c r="D401" t="s">
        <v>158</v>
      </c>
      <c r="E401" t="s">
        <v>53</v>
      </c>
      <c r="F401" s="9">
        <v>45796</v>
      </c>
      <c r="G401" s="9">
        <v>45676</v>
      </c>
      <c r="H401" t="s">
        <v>78</v>
      </c>
      <c r="I401" t="s">
        <v>96</v>
      </c>
      <c r="J401" t="s">
        <v>88</v>
      </c>
      <c r="K401" t="s">
        <v>54</v>
      </c>
      <c r="L401" t="s">
        <v>65</v>
      </c>
      <c r="M401" t="s">
        <v>66</v>
      </c>
      <c r="N401">
        <v>5</v>
      </c>
      <c r="O401" t="s">
        <v>64</v>
      </c>
      <c r="P401" t="s">
        <v>54</v>
      </c>
      <c r="Q401" s="9">
        <v>45784</v>
      </c>
      <c r="R401" t="s">
        <v>75</v>
      </c>
      <c r="S401">
        <v>2</v>
      </c>
      <c r="T401">
        <v>3</v>
      </c>
      <c r="U401">
        <v>4</v>
      </c>
      <c r="V401" t="s">
        <v>54</v>
      </c>
      <c r="W401">
        <v>3</v>
      </c>
      <c r="X401" t="s">
        <v>54</v>
      </c>
      <c r="Y401" t="s">
        <v>68</v>
      </c>
      <c r="Z401" t="s">
        <v>190</v>
      </c>
      <c r="AA401">
        <v>14.3</v>
      </c>
      <c r="AB401" t="s">
        <v>79</v>
      </c>
      <c r="AC401" t="s">
        <v>180</v>
      </c>
      <c r="AD401" t="s">
        <v>191</v>
      </c>
      <c r="AE401" t="s">
        <v>243</v>
      </c>
    </row>
    <row r="402" spans="1:31" x14ac:dyDescent="0.3">
      <c r="A402" t="s">
        <v>173</v>
      </c>
      <c r="B402" t="s">
        <v>174</v>
      </c>
      <c r="C402" t="s">
        <v>54</v>
      </c>
      <c r="D402" t="s">
        <v>158</v>
      </c>
      <c r="E402" t="s">
        <v>63</v>
      </c>
      <c r="F402" s="9">
        <v>45890</v>
      </c>
      <c r="G402" s="9">
        <v>45789</v>
      </c>
      <c r="H402" t="s">
        <v>78</v>
      </c>
      <c r="I402" t="s">
        <v>96</v>
      </c>
      <c r="J402" t="s">
        <v>69</v>
      </c>
      <c r="K402" t="s">
        <v>54</v>
      </c>
      <c r="L402" t="s">
        <v>55</v>
      </c>
      <c r="M402" t="s">
        <v>56</v>
      </c>
      <c r="N402">
        <v>7</v>
      </c>
      <c r="O402" t="s">
        <v>64</v>
      </c>
      <c r="P402" t="s">
        <v>54</v>
      </c>
      <c r="Q402" s="9">
        <v>45866</v>
      </c>
      <c r="R402" t="s">
        <v>67</v>
      </c>
      <c r="S402">
        <v>4</v>
      </c>
      <c r="T402">
        <v>4</v>
      </c>
      <c r="U402">
        <v>5</v>
      </c>
      <c r="V402" t="s">
        <v>64</v>
      </c>
      <c r="W402">
        <v>3</v>
      </c>
      <c r="X402" t="s">
        <v>64</v>
      </c>
      <c r="Y402" t="s">
        <v>190</v>
      </c>
      <c r="Z402" t="s">
        <v>190</v>
      </c>
      <c r="AA402">
        <v>180</v>
      </c>
      <c r="AB402" t="s">
        <v>79</v>
      </c>
      <c r="AC402" t="s">
        <v>181</v>
      </c>
      <c r="AD402" t="s">
        <v>201</v>
      </c>
      <c r="AE402" t="s">
        <v>192</v>
      </c>
    </row>
    <row r="403" spans="1:31" x14ac:dyDescent="0.3">
      <c r="A403" t="s">
        <v>992</v>
      </c>
      <c r="B403" t="s">
        <v>564</v>
      </c>
      <c r="C403" t="s">
        <v>54</v>
      </c>
      <c r="D403" t="s">
        <v>158</v>
      </c>
      <c r="E403" t="s">
        <v>63</v>
      </c>
      <c r="F403" s="9">
        <v>45784</v>
      </c>
      <c r="G403" s="9">
        <v>45733</v>
      </c>
      <c r="H403" t="s">
        <v>60</v>
      </c>
      <c r="I403" t="s">
        <v>89</v>
      </c>
      <c r="J403" t="s">
        <v>88</v>
      </c>
      <c r="K403" t="s">
        <v>54</v>
      </c>
      <c r="L403" t="s">
        <v>65</v>
      </c>
      <c r="M403" t="s">
        <v>66</v>
      </c>
      <c r="N403">
        <v>6</v>
      </c>
      <c r="O403" t="s">
        <v>64</v>
      </c>
      <c r="P403" t="s">
        <v>64</v>
      </c>
      <c r="Q403" s="9"/>
      <c r="R403" t="s">
        <v>190</v>
      </c>
      <c r="V403" t="s">
        <v>190</v>
      </c>
      <c r="W403">
        <v>5</v>
      </c>
      <c r="X403" t="s">
        <v>64</v>
      </c>
      <c r="Y403" t="s">
        <v>190</v>
      </c>
      <c r="Z403" t="s">
        <v>190</v>
      </c>
      <c r="AA403">
        <v>24</v>
      </c>
      <c r="AB403" t="s">
        <v>61</v>
      </c>
      <c r="AC403" t="s">
        <v>181</v>
      </c>
      <c r="AD403" t="s">
        <v>192</v>
      </c>
      <c r="AE403" t="s">
        <v>192</v>
      </c>
    </row>
    <row r="404" spans="1:31" x14ac:dyDescent="0.3">
      <c r="A404" t="s">
        <v>993</v>
      </c>
      <c r="B404" t="s">
        <v>994</v>
      </c>
      <c r="C404" t="s">
        <v>54</v>
      </c>
      <c r="D404" t="s">
        <v>158</v>
      </c>
      <c r="E404" t="s">
        <v>53</v>
      </c>
      <c r="F404" s="9">
        <v>45836</v>
      </c>
      <c r="G404" s="9">
        <v>45691</v>
      </c>
      <c r="H404" t="s">
        <v>50</v>
      </c>
      <c r="I404" t="s">
        <v>72</v>
      </c>
      <c r="J404" t="s">
        <v>90</v>
      </c>
      <c r="K404" t="s">
        <v>54</v>
      </c>
      <c r="L404" t="s">
        <v>73</v>
      </c>
      <c r="M404" t="s">
        <v>56</v>
      </c>
      <c r="N404">
        <v>6</v>
      </c>
      <c r="O404" t="s">
        <v>64</v>
      </c>
      <c r="P404" t="s">
        <v>64</v>
      </c>
      <c r="Q404" s="9"/>
      <c r="R404" t="s">
        <v>190</v>
      </c>
      <c r="V404" t="s">
        <v>190</v>
      </c>
      <c r="W404">
        <v>4</v>
      </c>
      <c r="X404" t="s">
        <v>54</v>
      </c>
      <c r="Y404" t="s">
        <v>58</v>
      </c>
      <c r="Z404" t="s">
        <v>190</v>
      </c>
      <c r="AA404">
        <v>16.2</v>
      </c>
      <c r="AB404" t="s">
        <v>51</v>
      </c>
      <c r="AC404" t="s">
        <v>180</v>
      </c>
      <c r="AD404" t="s">
        <v>192</v>
      </c>
      <c r="AE404" t="s">
        <v>222</v>
      </c>
    </row>
    <row r="405" spans="1:31" x14ac:dyDescent="0.3">
      <c r="A405" t="s">
        <v>995</v>
      </c>
      <c r="B405" t="s">
        <v>996</v>
      </c>
      <c r="C405" t="s">
        <v>54</v>
      </c>
      <c r="D405" t="s">
        <v>158</v>
      </c>
      <c r="E405" t="s">
        <v>63</v>
      </c>
      <c r="F405" s="9">
        <v>45753</v>
      </c>
      <c r="G405" s="9">
        <v>45620</v>
      </c>
      <c r="H405" t="s">
        <v>60</v>
      </c>
      <c r="I405" t="s">
        <v>86</v>
      </c>
      <c r="J405" t="s">
        <v>90</v>
      </c>
      <c r="K405" t="s">
        <v>54</v>
      </c>
      <c r="L405" t="s">
        <v>73</v>
      </c>
      <c r="M405" t="s">
        <v>66</v>
      </c>
      <c r="N405">
        <v>7</v>
      </c>
      <c r="O405" t="s">
        <v>64</v>
      </c>
      <c r="P405" t="s">
        <v>54</v>
      </c>
      <c r="Q405" s="9">
        <v>45734</v>
      </c>
      <c r="R405" t="s">
        <v>67</v>
      </c>
      <c r="S405">
        <v>5</v>
      </c>
      <c r="T405">
        <v>4</v>
      </c>
      <c r="U405">
        <v>5</v>
      </c>
      <c r="V405" t="s">
        <v>54</v>
      </c>
      <c r="W405">
        <v>4</v>
      </c>
      <c r="X405" t="s">
        <v>54</v>
      </c>
      <c r="Y405" t="s">
        <v>76</v>
      </c>
      <c r="Z405" t="s">
        <v>322</v>
      </c>
      <c r="AA405">
        <v>9.4</v>
      </c>
      <c r="AB405" t="s">
        <v>61</v>
      </c>
      <c r="AC405" t="s">
        <v>181</v>
      </c>
      <c r="AD405" t="s">
        <v>201</v>
      </c>
      <c r="AE405" t="s">
        <v>237</v>
      </c>
    </row>
    <row r="406" spans="1:31" x14ac:dyDescent="0.3">
      <c r="A406" t="s">
        <v>997</v>
      </c>
      <c r="B406" t="s">
        <v>998</v>
      </c>
      <c r="C406" t="s">
        <v>54</v>
      </c>
      <c r="D406" t="s">
        <v>158</v>
      </c>
      <c r="E406" t="s">
        <v>53</v>
      </c>
      <c r="F406" s="9">
        <v>45828</v>
      </c>
      <c r="G406" s="9">
        <v>45687</v>
      </c>
      <c r="H406" t="s">
        <v>78</v>
      </c>
      <c r="I406" t="s">
        <v>98</v>
      </c>
      <c r="J406" t="s">
        <v>92</v>
      </c>
      <c r="K406" t="s">
        <v>54</v>
      </c>
      <c r="L406" t="s">
        <v>55</v>
      </c>
      <c r="M406" t="s">
        <v>56</v>
      </c>
      <c r="N406">
        <v>7</v>
      </c>
      <c r="O406" t="s">
        <v>64</v>
      </c>
      <c r="P406" t="s">
        <v>54</v>
      </c>
      <c r="Q406" s="9">
        <v>45827</v>
      </c>
      <c r="R406" t="s">
        <v>83</v>
      </c>
      <c r="S406">
        <v>4</v>
      </c>
      <c r="T406">
        <v>2</v>
      </c>
      <c r="U406">
        <v>3</v>
      </c>
      <c r="V406" t="s">
        <v>54</v>
      </c>
      <c r="W406">
        <v>3</v>
      </c>
      <c r="X406" t="s">
        <v>64</v>
      </c>
      <c r="Y406" t="s">
        <v>190</v>
      </c>
      <c r="Z406" t="s">
        <v>190</v>
      </c>
      <c r="AA406">
        <v>12.6</v>
      </c>
      <c r="AB406" t="s">
        <v>79</v>
      </c>
      <c r="AC406" t="s">
        <v>180</v>
      </c>
      <c r="AD406" t="s">
        <v>196</v>
      </c>
      <c r="AE406" t="s">
        <v>192</v>
      </c>
    </row>
    <row r="407" spans="1:31" x14ac:dyDescent="0.3">
      <c r="A407" t="s">
        <v>999</v>
      </c>
      <c r="B407" t="s">
        <v>1000</v>
      </c>
      <c r="C407" t="s">
        <v>54</v>
      </c>
      <c r="D407" t="s">
        <v>158</v>
      </c>
      <c r="E407" t="s">
        <v>63</v>
      </c>
      <c r="F407" s="9">
        <v>45784</v>
      </c>
      <c r="G407" s="9">
        <v>45637</v>
      </c>
      <c r="H407" t="s">
        <v>70</v>
      </c>
      <c r="I407" t="s">
        <v>91</v>
      </c>
      <c r="J407" t="s">
        <v>90</v>
      </c>
      <c r="K407" t="s">
        <v>54</v>
      </c>
      <c r="L407" t="s">
        <v>73</v>
      </c>
      <c r="M407" t="s">
        <v>66</v>
      </c>
      <c r="N407">
        <v>4</v>
      </c>
      <c r="O407" t="s">
        <v>64</v>
      </c>
      <c r="P407" t="s">
        <v>64</v>
      </c>
      <c r="Q407" s="9">
        <v>45784</v>
      </c>
      <c r="R407" t="s">
        <v>75</v>
      </c>
      <c r="S407">
        <v>4</v>
      </c>
      <c r="T407">
        <v>2</v>
      </c>
      <c r="U407">
        <v>4</v>
      </c>
      <c r="V407" t="s">
        <v>54</v>
      </c>
      <c r="W407">
        <v>5</v>
      </c>
      <c r="X407" t="s">
        <v>64</v>
      </c>
      <c r="Y407" t="s">
        <v>190</v>
      </c>
      <c r="Z407" t="s">
        <v>190</v>
      </c>
      <c r="AA407">
        <v>21.6</v>
      </c>
      <c r="AB407" t="s">
        <v>71</v>
      </c>
      <c r="AC407" t="s">
        <v>181</v>
      </c>
      <c r="AD407" t="s">
        <v>191</v>
      </c>
      <c r="AE407" t="s">
        <v>192</v>
      </c>
    </row>
    <row r="408" spans="1:31" x14ac:dyDescent="0.3">
      <c r="A408" t="s">
        <v>1001</v>
      </c>
      <c r="B408" t="s">
        <v>734</v>
      </c>
      <c r="C408" t="s">
        <v>54</v>
      </c>
      <c r="D408" t="s">
        <v>158</v>
      </c>
      <c r="E408" t="s">
        <v>63</v>
      </c>
      <c r="F408" s="9">
        <v>45925</v>
      </c>
      <c r="G408" s="9">
        <v>45801</v>
      </c>
      <c r="H408" t="s">
        <v>70</v>
      </c>
      <c r="I408" t="s">
        <v>95</v>
      </c>
      <c r="J408" t="s">
        <v>77</v>
      </c>
      <c r="K408" t="s">
        <v>54</v>
      </c>
      <c r="L408" t="s">
        <v>81</v>
      </c>
      <c r="M408" t="s">
        <v>56</v>
      </c>
      <c r="N408">
        <v>5</v>
      </c>
      <c r="O408" t="s">
        <v>64</v>
      </c>
      <c r="P408" t="s">
        <v>54</v>
      </c>
      <c r="Q408" s="9">
        <v>45804</v>
      </c>
      <c r="R408" t="s">
        <v>67</v>
      </c>
      <c r="S408">
        <v>5</v>
      </c>
      <c r="T408">
        <v>3</v>
      </c>
      <c r="U408">
        <v>5</v>
      </c>
      <c r="V408" t="s">
        <v>54</v>
      </c>
      <c r="W408">
        <v>4</v>
      </c>
      <c r="X408" t="s">
        <v>64</v>
      </c>
      <c r="Y408" t="s">
        <v>190</v>
      </c>
      <c r="Z408" t="s">
        <v>195</v>
      </c>
      <c r="AA408">
        <v>15.6</v>
      </c>
      <c r="AB408" t="s">
        <v>71</v>
      </c>
      <c r="AC408" t="s">
        <v>181</v>
      </c>
      <c r="AD408" t="s">
        <v>201</v>
      </c>
      <c r="AE408" t="s">
        <v>192</v>
      </c>
    </row>
    <row r="409" spans="1:31" x14ac:dyDescent="0.3">
      <c r="A409" t="s">
        <v>166</v>
      </c>
      <c r="B409" t="s">
        <v>167</v>
      </c>
      <c r="C409" t="s">
        <v>54</v>
      </c>
      <c r="D409" t="s">
        <v>158</v>
      </c>
      <c r="E409" t="s">
        <v>53</v>
      </c>
      <c r="F409" s="9">
        <v>45913</v>
      </c>
      <c r="G409" s="9">
        <v>45852</v>
      </c>
      <c r="H409" t="s">
        <v>50</v>
      </c>
      <c r="I409" t="s">
        <v>72</v>
      </c>
      <c r="J409" t="s">
        <v>92</v>
      </c>
      <c r="K409" t="s">
        <v>54</v>
      </c>
      <c r="L409" t="s">
        <v>65</v>
      </c>
      <c r="M409" t="s">
        <v>190</v>
      </c>
      <c r="N409">
        <v>2</v>
      </c>
      <c r="O409" t="s">
        <v>64</v>
      </c>
      <c r="P409" t="s">
        <v>54</v>
      </c>
      <c r="Q409" s="9">
        <v>45867</v>
      </c>
      <c r="R409" t="s">
        <v>75</v>
      </c>
      <c r="S409">
        <v>4</v>
      </c>
      <c r="T409">
        <v>4</v>
      </c>
      <c r="U409">
        <v>5</v>
      </c>
      <c r="V409" t="s">
        <v>54</v>
      </c>
      <c r="W409">
        <v>4</v>
      </c>
      <c r="X409" t="s">
        <v>64</v>
      </c>
      <c r="Y409" t="s">
        <v>190</v>
      </c>
      <c r="Z409" t="s">
        <v>190</v>
      </c>
      <c r="AA409">
        <v>12.6</v>
      </c>
      <c r="AB409" t="s">
        <v>51</v>
      </c>
      <c r="AC409" t="s">
        <v>180</v>
      </c>
      <c r="AD409" t="s">
        <v>191</v>
      </c>
      <c r="AE409" t="s">
        <v>192</v>
      </c>
    </row>
    <row r="410" spans="1:31" x14ac:dyDescent="0.3">
      <c r="A410" t="s">
        <v>1002</v>
      </c>
      <c r="B410" t="s">
        <v>1003</v>
      </c>
      <c r="C410" t="s">
        <v>54</v>
      </c>
      <c r="D410" t="s">
        <v>158</v>
      </c>
      <c r="E410" t="s">
        <v>53</v>
      </c>
      <c r="F410" s="9">
        <v>45868</v>
      </c>
      <c r="G410" s="9">
        <v>45765</v>
      </c>
      <c r="H410" t="s">
        <v>50</v>
      </c>
      <c r="I410" t="s">
        <v>72</v>
      </c>
      <c r="J410" t="s">
        <v>92</v>
      </c>
      <c r="K410" t="s">
        <v>54</v>
      </c>
      <c r="L410" t="s">
        <v>87</v>
      </c>
      <c r="M410" t="s">
        <v>56</v>
      </c>
      <c r="N410">
        <v>4</v>
      </c>
      <c r="O410" t="s">
        <v>64</v>
      </c>
      <c r="P410" t="s">
        <v>64</v>
      </c>
      <c r="Q410" s="9"/>
      <c r="R410" t="s">
        <v>190</v>
      </c>
      <c r="V410" t="s">
        <v>190</v>
      </c>
      <c r="W410">
        <v>4</v>
      </c>
      <c r="X410" t="s">
        <v>64</v>
      </c>
      <c r="Y410" t="s">
        <v>190</v>
      </c>
      <c r="Z410" t="s">
        <v>190</v>
      </c>
      <c r="AA410">
        <v>25.7</v>
      </c>
      <c r="AB410" t="s">
        <v>51</v>
      </c>
      <c r="AC410" t="s">
        <v>180</v>
      </c>
      <c r="AD410" t="s">
        <v>192</v>
      </c>
      <c r="AE410" t="s">
        <v>192</v>
      </c>
    </row>
    <row r="411" spans="1:31" x14ac:dyDescent="0.3">
      <c r="A411" t="s">
        <v>1004</v>
      </c>
      <c r="B411" t="s">
        <v>1005</v>
      </c>
      <c r="C411" t="s">
        <v>54</v>
      </c>
      <c r="D411" t="s">
        <v>158</v>
      </c>
      <c r="E411" t="s">
        <v>53</v>
      </c>
      <c r="F411" s="9">
        <v>45857</v>
      </c>
      <c r="G411" s="9">
        <v>45752</v>
      </c>
      <c r="H411" t="s">
        <v>60</v>
      </c>
      <c r="I411" t="s">
        <v>80</v>
      </c>
      <c r="J411" t="s">
        <v>69</v>
      </c>
      <c r="K411" t="s">
        <v>54</v>
      </c>
      <c r="L411" t="s">
        <v>65</v>
      </c>
      <c r="M411" t="s">
        <v>56</v>
      </c>
      <c r="N411">
        <v>4</v>
      </c>
      <c r="O411" t="s">
        <v>64</v>
      </c>
      <c r="P411" t="s">
        <v>54</v>
      </c>
      <c r="Q411" s="9">
        <v>45826</v>
      </c>
      <c r="R411" t="s">
        <v>57</v>
      </c>
      <c r="S411">
        <v>3</v>
      </c>
      <c r="T411">
        <v>3</v>
      </c>
      <c r="U411">
        <v>4</v>
      </c>
      <c r="V411" t="s">
        <v>54</v>
      </c>
      <c r="W411">
        <v>2</v>
      </c>
      <c r="X411" t="s">
        <v>64</v>
      </c>
      <c r="Y411" t="s">
        <v>190</v>
      </c>
      <c r="Z411" t="s">
        <v>190</v>
      </c>
      <c r="AA411">
        <v>26.5</v>
      </c>
      <c r="AB411" t="s">
        <v>61</v>
      </c>
      <c r="AC411" t="s">
        <v>180</v>
      </c>
      <c r="AD411" t="s">
        <v>207</v>
      </c>
      <c r="AE411" t="s">
        <v>192</v>
      </c>
    </row>
    <row r="412" spans="1:31" x14ac:dyDescent="0.3">
      <c r="A412" t="s">
        <v>1006</v>
      </c>
      <c r="B412" t="s">
        <v>1007</v>
      </c>
      <c r="C412" t="s">
        <v>54</v>
      </c>
      <c r="D412" t="s">
        <v>158</v>
      </c>
      <c r="E412" t="s">
        <v>63</v>
      </c>
      <c r="F412" s="9">
        <v>45909</v>
      </c>
      <c r="G412" s="9">
        <v>45871</v>
      </c>
      <c r="H412" t="s">
        <v>50</v>
      </c>
      <c r="I412" t="s">
        <v>72</v>
      </c>
      <c r="J412" t="s">
        <v>59</v>
      </c>
      <c r="K412" t="s">
        <v>54</v>
      </c>
      <c r="L412" t="s">
        <v>73</v>
      </c>
      <c r="M412" t="s">
        <v>56</v>
      </c>
      <c r="N412">
        <v>5</v>
      </c>
      <c r="O412" t="s">
        <v>64</v>
      </c>
      <c r="P412" t="s">
        <v>54</v>
      </c>
      <c r="Q412" s="9">
        <v>45879</v>
      </c>
      <c r="R412" t="s">
        <v>67</v>
      </c>
      <c r="S412">
        <v>5</v>
      </c>
      <c r="T412">
        <v>2</v>
      </c>
      <c r="U412">
        <v>4</v>
      </c>
      <c r="V412" t="s">
        <v>54</v>
      </c>
      <c r="W412">
        <v>5</v>
      </c>
      <c r="X412" t="s">
        <v>64</v>
      </c>
      <c r="Y412" t="s">
        <v>190</v>
      </c>
      <c r="Z412" t="s">
        <v>190</v>
      </c>
      <c r="AA412">
        <v>17.3</v>
      </c>
      <c r="AB412" t="s">
        <v>51</v>
      </c>
      <c r="AC412" t="s">
        <v>181</v>
      </c>
      <c r="AD412" t="s">
        <v>201</v>
      </c>
      <c r="AE412" t="s">
        <v>192</v>
      </c>
    </row>
    <row r="413" spans="1:31" x14ac:dyDescent="0.3">
      <c r="A413" t="s">
        <v>1008</v>
      </c>
      <c r="B413" t="s">
        <v>1009</v>
      </c>
      <c r="C413" t="s">
        <v>54</v>
      </c>
      <c r="D413" t="s">
        <v>158</v>
      </c>
      <c r="E413" t="s">
        <v>63</v>
      </c>
      <c r="F413" s="9">
        <v>45920</v>
      </c>
      <c r="G413" s="9">
        <v>45829</v>
      </c>
      <c r="H413" t="s">
        <v>70</v>
      </c>
      <c r="I413" t="s">
        <v>91</v>
      </c>
      <c r="J413" t="s">
        <v>59</v>
      </c>
      <c r="K413" t="s">
        <v>54</v>
      </c>
      <c r="L413" t="s">
        <v>87</v>
      </c>
      <c r="M413" t="s">
        <v>66</v>
      </c>
      <c r="N413">
        <v>4</v>
      </c>
      <c r="O413" t="s">
        <v>64</v>
      </c>
      <c r="P413" t="s">
        <v>54</v>
      </c>
      <c r="Q413" s="9">
        <v>45876</v>
      </c>
      <c r="R413" t="s">
        <v>57</v>
      </c>
      <c r="S413">
        <v>3</v>
      </c>
      <c r="T413">
        <v>3</v>
      </c>
      <c r="U413">
        <v>5</v>
      </c>
      <c r="V413" t="s">
        <v>54</v>
      </c>
      <c r="W413">
        <v>5</v>
      </c>
      <c r="X413" t="s">
        <v>64</v>
      </c>
      <c r="Y413" t="s">
        <v>190</v>
      </c>
      <c r="Z413" t="s">
        <v>190</v>
      </c>
      <c r="AA413">
        <v>27.2</v>
      </c>
      <c r="AB413" t="s">
        <v>71</v>
      </c>
      <c r="AC413" t="s">
        <v>181</v>
      </c>
      <c r="AD413" t="s">
        <v>207</v>
      </c>
      <c r="AE413" t="s">
        <v>192</v>
      </c>
    </row>
    <row r="414" spans="1:31" x14ac:dyDescent="0.3">
      <c r="A414" t="s">
        <v>1010</v>
      </c>
      <c r="B414" t="s">
        <v>1011</v>
      </c>
      <c r="C414" t="s">
        <v>54</v>
      </c>
      <c r="D414" t="s">
        <v>158</v>
      </c>
      <c r="E414" t="s">
        <v>53</v>
      </c>
      <c r="F414" s="9">
        <v>45856</v>
      </c>
      <c r="G414" s="9">
        <v>45786</v>
      </c>
      <c r="H414" t="s">
        <v>50</v>
      </c>
      <c r="I414" t="s">
        <v>62</v>
      </c>
      <c r="J414" t="s">
        <v>88</v>
      </c>
      <c r="K414" t="s">
        <v>54</v>
      </c>
      <c r="L414" t="s">
        <v>87</v>
      </c>
      <c r="M414" t="s">
        <v>56</v>
      </c>
      <c r="N414">
        <v>6</v>
      </c>
      <c r="O414" t="s">
        <v>64</v>
      </c>
      <c r="P414" t="s">
        <v>54</v>
      </c>
      <c r="Q414" s="9">
        <v>45848</v>
      </c>
      <c r="R414" t="s">
        <v>75</v>
      </c>
      <c r="S414">
        <v>3</v>
      </c>
      <c r="T414">
        <v>3</v>
      </c>
      <c r="U414">
        <v>4</v>
      </c>
      <c r="V414" t="s">
        <v>54</v>
      </c>
      <c r="W414">
        <v>4</v>
      </c>
      <c r="X414" t="s">
        <v>64</v>
      </c>
      <c r="Y414" t="s">
        <v>190</v>
      </c>
      <c r="Z414" t="s">
        <v>190</v>
      </c>
      <c r="AA414">
        <v>15.8</v>
      </c>
      <c r="AB414" t="s">
        <v>51</v>
      </c>
      <c r="AC414" t="s">
        <v>180</v>
      </c>
      <c r="AD414" t="s">
        <v>191</v>
      </c>
      <c r="AE414" t="s">
        <v>192</v>
      </c>
    </row>
    <row r="415" spans="1:31" x14ac:dyDescent="0.3">
      <c r="A415" t="s">
        <v>1012</v>
      </c>
      <c r="B415" t="s">
        <v>1013</v>
      </c>
      <c r="C415" t="s">
        <v>54</v>
      </c>
      <c r="D415" t="s">
        <v>158</v>
      </c>
      <c r="E415" t="s">
        <v>63</v>
      </c>
      <c r="F415" s="9">
        <v>45881</v>
      </c>
      <c r="G415" s="9">
        <v>45759</v>
      </c>
      <c r="H415" t="s">
        <v>50</v>
      </c>
      <c r="I415" t="s">
        <v>52</v>
      </c>
      <c r="J415" t="s">
        <v>69</v>
      </c>
      <c r="K415" t="s">
        <v>54</v>
      </c>
      <c r="L415" t="s">
        <v>81</v>
      </c>
      <c r="M415" t="s">
        <v>66</v>
      </c>
      <c r="N415">
        <v>5</v>
      </c>
      <c r="O415" t="s">
        <v>64</v>
      </c>
      <c r="P415" t="s">
        <v>64</v>
      </c>
      <c r="Q415" s="9"/>
      <c r="R415" t="s">
        <v>190</v>
      </c>
      <c r="V415" t="s">
        <v>190</v>
      </c>
      <c r="W415">
        <v>4</v>
      </c>
      <c r="X415" t="s">
        <v>64</v>
      </c>
      <c r="Y415" t="s">
        <v>190</v>
      </c>
      <c r="Z415" t="s">
        <v>190</v>
      </c>
      <c r="AA415">
        <v>20</v>
      </c>
      <c r="AB415" t="s">
        <v>51</v>
      </c>
      <c r="AC415" t="s">
        <v>181</v>
      </c>
      <c r="AD415" t="s">
        <v>192</v>
      </c>
      <c r="AE415" t="s">
        <v>192</v>
      </c>
    </row>
    <row r="416" spans="1:31" x14ac:dyDescent="0.3">
      <c r="A416" t="s">
        <v>1014</v>
      </c>
      <c r="B416" t="s">
        <v>1015</v>
      </c>
      <c r="C416" t="s">
        <v>54</v>
      </c>
      <c r="D416" t="s">
        <v>158</v>
      </c>
      <c r="E416" t="s">
        <v>63</v>
      </c>
      <c r="F416" s="9">
        <v>45800</v>
      </c>
      <c r="G416" s="9">
        <v>45704</v>
      </c>
      <c r="H416" t="s">
        <v>70</v>
      </c>
      <c r="I416" t="s">
        <v>91</v>
      </c>
      <c r="J416" t="s">
        <v>94</v>
      </c>
      <c r="K416" t="s">
        <v>54</v>
      </c>
      <c r="L416" t="s">
        <v>81</v>
      </c>
      <c r="M416" t="s">
        <v>56</v>
      </c>
      <c r="N416">
        <v>5</v>
      </c>
      <c r="O416" t="s">
        <v>54</v>
      </c>
      <c r="P416" t="s">
        <v>54</v>
      </c>
      <c r="Q416" s="9">
        <v>45751</v>
      </c>
      <c r="R416" t="s">
        <v>57</v>
      </c>
      <c r="S416">
        <v>4</v>
      </c>
      <c r="T416">
        <v>4</v>
      </c>
      <c r="U416">
        <v>5</v>
      </c>
      <c r="V416" t="s">
        <v>54</v>
      </c>
      <c r="W416">
        <v>3</v>
      </c>
      <c r="X416" t="s">
        <v>54</v>
      </c>
      <c r="Y416" t="s">
        <v>68</v>
      </c>
      <c r="Z416" t="s">
        <v>534</v>
      </c>
      <c r="AA416">
        <v>18.399999999999999</v>
      </c>
      <c r="AB416" t="s">
        <v>71</v>
      </c>
      <c r="AC416" t="s">
        <v>181</v>
      </c>
      <c r="AD416" t="s">
        <v>207</v>
      </c>
      <c r="AE416" t="s">
        <v>243</v>
      </c>
    </row>
    <row r="417" spans="1:31" x14ac:dyDescent="0.3">
      <c r="A417" t="s">
        <v>1016</v>
      </c>
      <c r="B417" t="s">
        <v>1017</v>
      </c>
      <c r="C417" t="s">
        <v>54</v>
      </c>
      <c r="D417" t="s">
        <v>158</v>
      </c>
      <c r="E417" t="s">
        <v>53</v>
      </c>
      <c r="F417" s="9">
        <v>45804</v>
      </c>
      <c r="G417" s="9">
        <v>45818</v>
      </c>
      <c r="H417" t="s">
        <v>60</v>
      </c>
      <c r="I417" t="s">
        <v>80</v>
      </c>
      <c r="J417" t="s">
        <v>92</v>
      </c>
      <c r="K417" t="s">
        <v>54</v>
      </c>
      <c r="L417" t="s">
        <v>87</v>
      </c>
      <c r="M417" t="s">
        <v>56</v>
      </c>
      <c r="N417">
        <v>4</v>
      </c>
      <c r="O417" t="s">
        <v>64</v>
      </c>
      <c r="P417" t="s">
        <v>64</v>
      </c>
      <c r="Q417" s="9"/>
      <c r="R417" t="s">
        <v>190</v>
      </c>
      <c r="V417" t="s">
        <v>190</v>
      </c>
      <c r="W417">
        <v>5</v>
      </c>
      <c r="X417" t="s">
        <v>54</v>
      </c>
      <c r="Y417" t="s">
        <v>68</v>
      </c>
      <c r="Z417" t="s">
        <v>190</v>
      </c>
      <c r="AA417">
        <v>24</v>
      </c>
      <c r="AB417" t="s">
        <v>61</v>
      </c>
      <c r="AC417" t="s">
        <v>180</v>
      </c>
      <c r="AD417" t="s">
        <v>192</v>
      </c>
      <c r="AE417" t="s">
        <v>243</v>
      </c>
    </row>
    <row r="418" spans="1:31" x14ac:dyDescent="0.3">
      <c r="A418" t="s">
        <v>1018</v>
      </c>
      <c r="B418" t="s">
        <v>1019</v>
      </c>
      <c r="C418" t="s">
        <v>54</v>
      </c>
      <c r="D418" t="s">
        <v>158</v>
      </c>
      <c r="E418" t="s">
        <v>63</v>
      </c>
      <c r="F418" s="9">
        <v>45814</v>
      </c>
      <c r="G418" s="9">
        <v>45688</v>
      </c>
      <c r="H418" t="s">
        <v>50</v>
      </c>
      <c r="I418" t="s">
        <v>72</v>
      </c>
      <c r="J418" t="s">
        <v>85</v>
      </c>
      <c r="K418" t="s">
        <v>54</v>
      </c>
      <c r="L418" t="s">
        <v>65</v>
      </c>
      <c r="M418" t="s">
        <v>82</v>
      </c>
      <c r="N418">
        <v>7</v>
      </c>
      <c r="O418" t="s">
        <v>64</v>
      </c>
      <c r="P418" t="s">
        <v>64</v>
      </c>
      <c r="Q418" s="9"/>
      <c r="R418" t="s">
        <v>190</v>
      </c>
      <c r="V418" t="s">
        <v>190</v>
      </c>
      <c r="W418">
        <v>3</v>
      </c>
      <c r="X418" t="s">
        <v>64</v>
      </c>
      <c r="Y418" t="s">
        <v>190</v>
      </c>
      <c r="Z418" t="s">
        <v>190</v>
      </c>
      <c r="AA418">
        <v>16.5</v>
      </c>
      <c r="AB418" t="s">
        <v>51</v>
      </c>
      <c r="AC418" t="s">
        <v>181</v>
      </c>
      <c r="AD418" t="s">
        <v>192</v>
      </c>
      <c r="AE418" t="s">
        <v>192</v>
      </c>
    </row>
    <row r="419" spans="1:31" x14ac:dyDescent="0.3">
      <c r="A419" t="s">
        <v>1020</v>
      </c>
      <c r="B419" t="s">
        <v>1021</v>
      </c>
      <c r="C419" t="s">
        <v>54</v>
      </c>
      <c r="D419" t="s">
        <v>158</v>
      </c>
      <c r="E419" t="s">
        <v>53</v>
      </c>
      <c r="F419" s="9">
        <v>45908</v>
      </c>
      <c r="G419" s="9">
        <v>45860</v>
      </c>
      <c r="H419" t="s">
        <v>50</v>
      </c>
      <c r="I419" t="s">
        <v>72</v>
      </c>
      <c r="J419" t="s">
        <v>77</v>
      </c>
      <c r="K419" t="s">
        <v>54</v>
      </c>
      <c r="L419" t="s">
        <v>73</v>
      </c>
      <c r="M419" t="s">
        <v>66</v>
      </c>
      <c r="N419">
        <v>2</v>
      </c>
      <c r="O419" t="s">
        <v>54</v>
      </c>
      <c r="P419" t="s">
        <v>54</v>
      </c>
      <c r="Q419" s="9">
        <v>45888</v>
      </c>
      <c r="R419" t="s">
        <v>83</v>
      </c>
      <c r="S419">
        <v>1</v>
      </c>
      <c r="T419">
        <v>2</v>
      </c>
      <c r="U419">
        <v>4</v>
      </c>
      <c r="V419" t="s">
        <v>54</v>
      </c>
      <c r="W419">
        <v>4</v>
      </c>
      <c r="X419" t="s">
        <v>64</v>
      </c>
      <c r="Y419" t="s">
        <v>190</v>
      </c>
      <c r="Z419" t="s">
        <v>190</v>
      </c>
      <c r="AA419">
        <v>13.6</v>
      </c>
      <c r="AB419" t="s">
        <v>51</v>
      </c>
      <c r="AC419" t="s">
        <v>180</v>
      </c>
      <c r="AD419" t="s">
        <v>196</v>
      </c>
      <c r="AE419" t="s">
        <v>192</v>
      </c>
    </row>
    <row r="420" spans="1:31" x14ac:dyDescent="0.3">
      <c r="A420" t="s">
        <v>1022</v>
      </c>
      <c r="B420" t="s">
        <v>1023</v>
      </c>
      <c r="C420" t="s">
        <v>54</v>
      </c>
      <c r="D420" t="s">
        <v>158</v>
      </c>
      <c r="E420" t="s">
        <v>53</v>
      </c>
      <c r="F420" s="9">
        <v>45788</v>
      </c>
      <c r="G420" s="9">
        <v>45642</v>
      </c>
      <c r="H420" t="s">
        <v>78</v>
      </c>
      <c r="I420" t="s">
        <v>97</v>
      </c>
      <c r="J420" t="s">
        <v>90</v>
      </c>
      <c r="K420" t="s">
        <v>54</v>
      </c>
      <c r="L420" t="s">
        <v>73</v>
      </c>
      <c r="M420" t="s">
        <v>56</v>
      </c>
      <c r="N420">
        <v>4</v>
      </c>
      <c r="O420" t="s">
        <v>64</v>
      </c>
      <c r="P420" t="s">
        <v>54</v>
      </c>
      <c r="Q420" s="9">
        <v>45692</v>
      </c>
      <c r="R420" t="s">
        <v>67</v>
      </c>
      <c r="S420">
        <v>4</v>
      </c>
      <c r="T420">
        <v>2</v>
      </c>
      <c r="U420">
        <v>3</v>
      </c>
      <c r="V420" t="s">
        <v>64</v>
      </c>
      <c r="W420">
        <v>3</v>
      </c>
      <c r="X420" t="s">
        <v>64</v>
      </c>
      <c r="Y420" t="s">
        <v>190</v>
      </c>
      <c r="Z420" t="s">
        <v>432</v>
      </c>
      <c r="AA420">
        <v>10</v>
      </c>
      <c r="AB420" t="s">
        <v>79</v>
      </c>
      <c r="AC420" t="s">
        <v>180</v>
      </c>
      <c r="AD420" t="s">
        <v>201</v>
      </c>
      <c r="AE420" t="s">
        <v>192</v>
      </c>
    </row>
    <row r="421" spans="1:31" x14ac:dyDescent="0.3">
      <c r="A421" t="s">
        <v>1024</v>
      </c>
      <c r="B421" t="s">
        <v>1025</v>
      </c>
      <c r="C421" t="s">
        <v>54</v>
      </c>
      <c r="D421" t="s">
        <v>158</v>
      </c>
      <c r="E421" t="s">
        <v>63</v>
      </c>
      <c r="F421" s="9">
        <v>45876</v>
      </c>
      <c r="G421" s="9">
        <v>45809</v>
      </c>
      <c r="H421" t="s">
        <v>70</v>
      </c>
      <c r="I421" t="s">
        <v>95</v>
      </c>
      <c r="J421" t="s">
        <v>69</v>
      </c>
      <c r="K421" t="s">
        <v>54</v>
      </c>
      <c r="L421" t="s">
        <v>81</v>
      </c>
      <c r="M421" t="s">
        <v>56</v>
      </c>
      <c r="N421">
        <v>5</v>
      </c>
      <c r="O421" t="s">
        <v>64</v>
      </c>
      <c r="P421" t="s">
        <v>64</v>
      </c>
      <c r="Q421" s="9"/>
      <c r="R421" t="s">
        <v>190</v>
      </c>
      <c r="V421" t="s">
        <v>190</v>
      </c>
      <c r="W421">
        <v>5</v>
      </c>
      <c r="X421" t="s">
        <v>64</v>
      </c>
      <c r="Y421" t="s">
        <v>190</v>
      </c>
      <c r="Z421" t="s">
        <v>190</v>
      </c>
      <c r="AA421">
        <v>24.3</v>
      </c>
      <c r="AB421" t="s">
        <v>71</v>
      </c>
      <c r="AC421" t="s">
        <v>181</v>
      </c>
      <c r="AD421" t="s">
        <v>192</v>
      </c>
      <c r="AE421" t="s">
        <v>192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B8"/>
  <sheetViews>
    <sheetView showGridLines="0" workbookViewId="0">
      <selection sqref="A1:B1"/>
    </sheetView>
  </sheetViews>
  <sheetFormatPr defaultRowHeight="14.4" x14ac:dyDescent="0.3"/>
  <cols>
    <col min="1" max="1" width="20" customWidth="1"/>
    <col min="2" max="2" width="82" customWidth="1"/>
  </cols>
  <sheetData>
    <row r="1" spans="1:2" ht="28.05" customHeight="1" x14ac:dyDescent="0.3">
      <c r="A1" s="13" t="s">
        <v>0</v>
      </c>
      <c r="B1" s="14"/>
    </row>
    <row r="3" spans="1:2" ht="42" customHeight="1" x14ac:dyDescent="0.3">
      <c r="A3" s="1" t="s">
        <v>1</v>
      </c>
      <c r="B3" s="2" t="s">
        <v>2</v>
      </c>
    </row>
    <row r="4" spans="1:2" ht="42" customHeight="1" x14ac:dyDescent="0.3">
      <c r="A4" s="1" t="s">
        <v>3</v>
      </c>
      <c r="B4" s="2" t="s">
        <v>4</v>
      </c>
    </row>
    <row r="5" spans="1:2" ht="42" customHeight="1" x14ac:dyDescent="0.3">
      <c r="A5" s="1" t="s">
        <v>5</v>
      </c>
      <c r="B5" s="2" t="s">
        <v>6</v>
      </c>
    </row>
    <row r="6" spans="1:2" ht="42" customHeight="1" x14ac:dyDescent="0.3">
      <c r="A6" s="1" t="s">
        <v>7</v>
      </c>
      <c r="B6" s="2" t="s">
        <v>8</v>
      </c>
    </row>
    <row r="7" spans="1:2" ht="42" customHeight="1" x14ac:dyDescent="0.3">
      <c r="A7" s="1" t="s">
        <v>9</v>
      </c>
      <c r="B7" s="2" t="s">
        <v>10</v>
      </c>
    </row>
    <row r="8" spans="1:2" ht="42" customHeight="1" x14ac:dyDescent="0.3">
      <c r="A8" s="1" t="s">
        <v>11</v>
      </c>
      <c r="B8" s="2" t="s">
        <v>12</v>
      </c>
    </row>
  </sheetData>
  <mergeCells count="1">
    <mergeCell ref="A1:B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C13"/>
  <sheetViews>
    <sheetView workbookViewId="0">
      <pane ySplit="2" topLeftCell="A3" activePane="bottomLeft" state="frozen"/>
      <selection pane="bottomLeft"/>
    </sheetView>
  </sheetViews>
  <sheetFormatPr defaultRowHeight="14.4" x14ac:dyDescent="0.3"/>
  <cols>
    <col min="1" max="1" width="28" customWidth="1"/>
    <col min="2" max="2" width="40" customWidth="1"/>
    <col min="3" max="3" width="60" customWidth="1"/>
  </cols>
  <sheetData>
    <row r="1" spans="1:3" ht="28.05" customHeight="1" x14ac:dyDescent="0.3">
      <c r="A1" s="13" t="s">
        <v>0</v>
      </c>
      <c r="B1" s="14"/>
      <c r="C1" s="14"/>
    </row>
    <row r="2" spans="1:3" x14ac:dyDescent="0.3">
      <c r="A2" s="3" t="s">
        <v>13</v>
      </c>
      <c r="B2" s="3" t="s">
        <v>14</v>
      </c>
      <c r="C2" s="3" t="s">
        <v>15</v>
      </c>
    </row>
    <row r="3" spans="1:3" x14ac:dyDescent="0.3">
      <c r="A3" t="s">
        <v>16</v>
      </c>
      <c r="B3" t="s">
        <v>1034</v>
      </c>
      <c r="C3" s="4" t="s">
        <v>17</v>
      </c>
    </row>
    <row r="4" spans="1:3" x14ac:dyDescent="0.3">
      <c r="A4" t="s">
        <v>18</v>
      </c>
      <c r="B4">
        <v>420</v>
      </c>
      <c r="C4" s="4" t="s">
        <v>19</v>
      </c>
    </row>
    <row r="5" spans="1:3" x14ac:dyDescent="0.3">
      <c r="A5" t="s">
        <v>20</v>
      </c>
      <c r="B5" s="5">
        <v>45748</v>
      </c>
      <c r="C5" s="4" t="s">
        <v>21</v>
      </c>
    </row>
    <row r="6" spans="1:3" x14ac:dyDescent="0.3">
      <c r="A6" t="s">
        <v>22</v>
      </c>
      <c r="B6" s="5">
        <v>45930</v>
      </c>
      <c r="C6" s="4" t="s">
        <v>23</v>
      </c>
    </row>
    <row r="7" spans="1:3" x14ac:dyDescent="0.3">
      <c r="A7" t="s">
        <v>24</v>
      </c>
      <c r="B7" s="5">
        <v>45931</v>
      </c>
      <c r="C7" s="4" t="s">
        <v>25</v>
      </c>
    </row>
    <row r="8" spans="1:3" x14ac:dyDescent="0.3">
      <c r="A8" t="s">
        <v>26</v>
      </c>
      <c r="B8">
        <v>1</v>
      </c>
      <c r="C8" s="4" t="s">
        <v>27</v>
      </c>
    </row>
    <row r="9" spans="1:3" x14ac:dyDescent="0.3">
      <c r="A9" t="s">
        <v>28</v>
      </c>
      <c r="B9">
        <v>20</v>
      </c>
      <c r="C9" s="4" t="s">
        <v>29</v>
      </c>
    </row>
    <row r="10" spans="1:3" x14ac:dyDescent="0.3">
      <c r="A10" t="s">
        <v>30</v>
      </c>
      <c r="B10">
        <v>1</v>
      </c>
      <c r="C10" s="4" t="s">
        <v>31</v>
      </c>
    </row>
    <row r="11" spans="1:3" x14ac:dyDescent="0.3">
      <c r="A11" t="s">
        <v>32</v>
      </c>
      <c r="B11">
        <v>5</v>
      </c>
      <c r="C11" s="4" t="s">
        <v>33</v>
      </c>
    </row>
    <row r="12" spans="1:3" x14ac:dyDescent="0.3">
      <c r="A12" t="s">
        <v>34</v>
      </c>
      <c r="B12">
        <v>3</v>
      </c>
      <c r="C12" s="4" t="s">
        <v>35</v>
      </c>
    </row>
    <row r="13" spans="1:3" x14ac:dyDescent="0.3">
      <c r="A13" t="s">
        <v>36</v>
      </c>
      <c r="B13">
        <v>60</v>
      </c>
      <c r="C13" s="4" t="s">
        <v>37</v>
      </c>
    </row>
  </sheetData>
  <mergeCells count="1">
    <mergeCell ref="A1:C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K14"/>
  <sheetViews>
    <sheetView workbookViewId="0">
      <pane ySplit="2" topLeftCell="A3" activePane="bottomLeft" state="frozen"/>
      <selection pane="bottomLeft"/>
    </sheetView>
  </sheetViews>
  <sheetFormatPr defaultRowHeight="14.4" x14ac:dyDescent="0.3"/>
  <cols>
    <col min="1" max="1" width="42" customWidth="1"/>
    <col min="2" max="2" width="26" customWidth="1"/>
    <col min="3" max="3" width="12" customWidth="1"/>
    <col min="4" max="4" width="13" customWidth="1"/>
    <col min="5" max="8" width="12" customWidth="1"/>
    <col min="9" max="9" width="18" customWidth="1"/>
    <col min="10" max="10" width="19" customWidth="1"/>
    <col min="11" max="11" width="12" customWidth="1"/>
  </cols>
  <sheetData>
    <row r="1" spans="1:11" ht="28.05" customHeight="1" x14ac:dyDescent="0.3">
      <c r="A1" s="13" t="s">
        <v>38</v>
      </c>
      <c r="B1" s="14"/>
      <c r="C1" s="14"/>
      <c r="D1" s="14"/>
      <c r="E1" s="14"/>
      <c r="F1" s="14"/>
      <c r="G1" s="14"/>
      <c r="H1" s="14"/>
    </row>
    <row r="2" spans="1:11" x14ac:dyDescent="0.3">
      <c r="A2" s="6" t="s">
        <v>39</v>
      </c>
      <c r="B2" s="6" t="s">
        <v>40</v>
      </c>
      <c r="C2" s="6" t="s">
        <v>41</v>
      </c>
      <c r="D2" s="6" t="s">
        <v>42</v>
      </c>
      <c r="E2" s="6" t="s">
        <v>43</v>
      </c>
      <c r="F2" s="6" t="s">
        <v>44</v>
      </c>
      <c r="G2" s="6" t="s">
        <v>45</v>
      </c>
      <c r="H2" s="6" t="s">
        <v>46</v>
      </c>
      <c r="I2" s="6" t="s">
        <v>47</v>
      </c>
      <c r="J2" s="6" t="s">
        <v>48</v>
      </c>
      <c r="K2" s="6" t="s">
        <v>49</v>
      </c>
    </row>
    <row r="3" spans="1:11" x14ac:dyDescent="0.3">
      <c r="A3" t="s">
        <v>50</v>
      </c>
      <c r="B3" t="s">
        <v>51</v>
      </c>
      <c r="C3" t="s">
        <v>52</v>
      </c>
      <c r="D3" t="s">
        <v>50</v>
      </c>
      <c r="E3" t="s">
        <v>53</v>
      </c>
      <c r="F3" t="s">
        <v>54</v>
      </c>
      <c r="G3" t="s">
        <v>55</v>
      </c>
      <c r="H3" t="s">
        <v>56</v>
      </c>
      <c r="I3" t="s">
        <v>57</v>
      </c>
      <c r="J3" t="s">
        <v>58</v>
      </c>
      <c r="K3" t="s">
        <v>59</v>
      </c>
    </row>
    <row r="4" spans="1:11" x14ac:dyDescent="0.3">
      <c r="A4" t="s">
        <v>60</v>
      </c>
      <c r="B4" t="s">
        <v>61</v>
      </c>
      <c r="C4" t="s">
        <v>62</v>
      </c>
      <c r="D4" t="s">
        <v>50</v>
      </c>
      <c r="E4" t="s">
        <v>63</v>
      </c>
      <c r="F4" t="s">
        <v>64</v>
      </c>
      <c r="G4" t="s">
        <v>65</v>
      </c>
      <c r="H4" t="s">
        <v>66</v>
      </c>
      <c r="I4" t="s">
        <v>67</v>
      </c>
      <c r="J4" t="s">
        <v>68</v>
      </c>
      <c r="K4" t="s">
        <v>69</v>
      </c>
    </row>
    <row r="5" spans="1:11" x14ac:dyDescent="0.3">
      <c r="A5" t="s">
        <v>70</v>
      </c>
      <c r="B5" t="s">
        <v>71</v>
      </c>
      <c r="C5" t="s">
        <v>72</v>
      </c>
      <c r="D5" t="s">
        <v>50</v>
      </c>
      <c r="G5" t="s">
        <v>73</v>
      </c>
      <c r="H5" t="s">
        <v>74</v>
      </c>
      <c r="I5" t="s">
        <v>75</v>
      </c>
      <c r="J5" t="s">
        <v>76</v>
      </c>
      <c r="K5" t="s">
        <v>77</v>
      </c>
    </row>
    <row r="6" spans="1:11" x14ac:dyDescent="0.3">
      <c r="A6" t="s">
        <v>78</v>
      </c>
      <c r="B6" t="s">
        <v>79</v>
      </c>
      <c r="C6" t="s">
        <v>80</v>
      </c>
      <c r="D6" t="s">
        <v>60</v>
      </c>
      <c r="G6" t="s">
        <v>81</v>
      </c>
      <c r="H6" t="s">
        <v>82</v>
      </c>
      <c r="I6" t="s">
        <v>83</v>
      </c>
      <c r="J6" t="s">
        <v>84</v>
      </c>
      <c r="K6" t="s">
        <v>85</v>
      </c>
    </row>
    <row r="7" spans="1:11" x14ac:dyDescent="0.3">
      <c r="C7" t="s">
        <v>86</v>
      </c>
      <c r="D7" t="s">
        <v>60</v>
      </c>
      <c r="G7" t="s">
        <v>87</v>
      </c>
      <c r="K7" t="s">
        <v>88</v>
      </c>
    </row>
    <row r="8" spans="1:11" x14ac:dyDescent="0.3">
      <c r="C8" t="s">
        <v>89</v>
      </c>
      <c r="D8" t="s">
        <v>60</v>
      </c>
      <c r="K8" t="s">
        <v>90</v>
      </c>
    </row>
    <row r="9" spans="1:11" x14ac:dyDescent="0.3">
      <c r="C9" t="s">
        <v>91</v>
      </c>
      <c r="D9" t="s">
        <v>70</v>
      </c>
      <c r="K9" t="s">
        <v>92</v>
      </c>
    </row>
    <row r="10" spans="1:11" x14ac:dyDescent="0.3">
      <c r="C10" t="s">
        <v>93</v>
      </c>
      <c r="D10" t="s">
        <v>70</v>
      </c>
      <c r="K10" t="s">
        <v>94</v>
      </c>
    </row>
    <row r="11" spans="1:11" x14ac:dyDescent="0.3">
      <c r="C11" t="s">
        <v>95</v>
      </c>
      <c r="D11" t="s">
        <v>70</v>
      </c>
    </row>
    <row r="12" spans="1:11" x14ac:dyDescent="0.3">
      <c r="C12" t="s">
        <v>96</v>
      </c>
      <c r="D12" t="s">
        <v>78</v>
      </c>
    </row>
    <row r="13" spans="1:11" x14ac:dyDescent="0.3">
      <c r="C13" t="s">
        <v>97</v>
      </c>
      <c r="D13" t="s">
        <v>78</v>
      </c>
    </row>
    <row r="14" spans="1:11" x14ac:dyDescent="0.3">
      <c r="C14" t="s">
        <v>98</v>
      </c>
      <c r="D14" t="s">
        <v>78</v>
      </c>
    </row>
  </sheetData>
  <mergeCells count="1">
    <mergeCell ref="A1:H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D9"/>
  <sheetViews>
    <sheetView workbookViewId="0">
      <pane ySplit="2" topLeftCell="A3" activePane="bottomLeft" state="frozen"/>
      <selection pane="bottomLeft"/>
    </sheetView>
  </sheetViews>
  <sheetFormatPr defaultRowHeight="14.4" x14ac:dyDescent="0.3"/>
  <cols>
    <col min="1" max="1" width="30" customWidth="1"/>
    <col min="2" max="2" width="28" customWidth="1"/>
    <col min="3" max="3" width="62" customWidth="1"/>
    <col min="4" max="4" width="15" customWidth="1"/>
  </cols>
  <sheetData>
    <row r="1" spans="1:4" ht="28.05" customHeight="1" x14ac:dyDescent="0.3">
      <c r="A1" s="13" t="s">
        <v>99</v>
      </c>
      <c r="B1" s="14"/>
      <c r="C1" s="14"/>
      <c r="D1" s="14"/>
    </row>
    <row r="2" spans="1:4" x14ac:dyDescent="0.3">
      <c r="A2" s="3" t="s">
        <v>100</v>
      </c>
      <c r="B2" s="3" t="s">
        <v>101</v>
      </c>
      <c r="C2" s="3" t="s">
        <v>102</v>
      </c>
      <c r="D2" s="3" t="s">
        <v>103</v>
      </c>
    </row>
    <row r="3" spans="1:4" x14ac:dyDescent="0.3">
      <c r="A3" s="7" t="s">
        <v>104</v>
      </c>
      <c r="B3" t="s">
        <v>105</v>
      </c>
      <c r="C3" s="4" t="s">
        <v>106</v>
      </c>
      <c r="D3" t="s">
        <v>107</v>
      </c>
    </row>
    <row r="4" spans="1:4" x14ac:dyDescent="0.3">
      <c r="A4" s="7" t="s">
        <v>108</v>
      </c>
      <c r="B4" t="s">
        <v>109</v>
      </c>
      <c r="C4" s="4" t="s">
        <v>110</v>
      </c>
      <c r="D4" t="s">
        <v>111</v>
      </c>
    </row>
    <row r="5" spans="1:4" x14ac:dyDescent="0.3">
      <c r="A5" s="7" t="s">
        <v>112</v>
      </c>
      <c r="B5" t="s">
        <v>113</v>
      </c>
      <c r="C5" s="4" t="s">
        <v>114</v>
      </c>
      <c r="D5" t="s">
        <v>111</v>
      </c>
    </row>
    <row r="6" spans="1:4" ht="28.8" x14ac:dyDescent="0.3">
      <c r="A6" s="7" t="s">
        <v>115</v>
      </c>
      <c r="B6" t="s">
        <v>116</v>
      </c>
      <c r="C6" s="4" t="s">
        <v>117</v>
      </c>
      <c r="D6" t="s">
        <v>107</v>
      </c>
    </row>
    <row r="7" spans="1:4" x14ac:dyDescent="0.3">
      <c r="A7" s="7" t="s">
        <v>118</v>
      </c>
      <c r="B7" t="s">
        <v>119</v>
      </c>
      <c r="C7" s="4" t="s">
        <v>120</v>
      </c>
      <c r="D7" t="s">
        <v>107</v>
      </c>
    </row>
    <row r="8" spans="1:4" x14ac:dyDescent="0.3">
      <c r="A8" s="7" t="s">
        <v>121</v>
      </c>
      <c r="B8" t="s">
        <v>122</v>
      </c>
      <c r="C8" s="4" t="s">
        <v>123</v>
      </c>
      <c r="D8" t="s">
        <v>107</v>
      </c>
    </row>
    <row r="9" spans="1:4" x14ac:dyDescent="0.3">
      <c r="A9" s="7" t="s">
        <v>124</v>
      </c>
      <c r="B9" t="s">
        <v>125</v>
      </c>
      <c r="C9" s="4" t="s">
        <v>126</v>
      </c>
      <c r="D9" t="s">
        <v>107</v>
      </c>
    </row>
  </sheetData>
  <mergeCells count="1">
    <mergeCell ref="A1:D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J33"/>
  <sheetViews>
    <sheetView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RowHeight="14.4" x14ac:dyDescent="0.3"/>
  <cols>
    <col min="1" max="1" width="22" customWidth="1"/>
    <col min="2" max="2" width="13" customWidth="1"/>
    <col min="3" max="4" width="16" customWidth="1"/>
    <col min="5" max="5" width="14" customWidth="1"/>
    <col min="6" max="6" width="16" customWidth="1"/>
    <col min="7" max="7" width="20" customWidth="1"/>
    <col min="8" max="8" width="13" customWidth="1"/>
    <col min="9" max="9" width="12" customWidth="1"/>
    <col min="10" max="10" width="17" customWidth="1"/>
    <col min="11" max="13" width="12" customWidth="1"/>
    <col min="14" max="14" width="16" customWidth="1"/>
    <col min="15" max="15" width="19" customWidth="1"/>
    <col min="16" max="16" width="22" customWidth="1"/>
    <col min="17" max="17" width="15" customWidth="1"/>
    <col min="18" max="18" width="18" customWidth="1"/>
    <col min="19" max="19" width="20" customWidth="1"/>
    <col min="20" max="20" width="18" customWidth="1"/>
    <col min="21" max="21" width="17" customWidth="1"/>
    <col min="22" max="22" width="12" customWidth="1"/>
    <col min="23" max="23" width="16" customWidth="1"/>
    <col min="24" max="24" width="21" customWidth="1"/>
    <col min="25" max="25" width="19" customWidth="1"/>
    <col min="26" max="26" width="14" customWidth="1"/>
    <col min="27" max="27" width="20" customWidth="1"/>
    <col min="28" max="36" width="22" customWidth="1"/>
  </cols>
  <sheetData>
    <row r="1" spans="1:36" ht="28.05" customHeight="1" x14ac:dyDescent="0.3">
      <c r="A1" s="13" t="s">
        <v>127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</row>
    <row r="2" spans="1:36" ht="28.8" x14ac:dyDescent="0.3">
      <c r="A2" s="3" t="s">
        <v>128</v>
      </c>
      <c r="B2" s="3" t="s">
        <v>109</v>
      </c>
      <c r="C2" s="3" t="s">
        <v>129</v>
      </c>
      <c r="D2" s="3" t="s">
        <v>130</v>
      </c>
      <c r="E2" s="3" t="s">
        <v>131</v>
      </c>
      <c r="F2" s="3" t="s">
        <v>132</v>
      </c>
      <c r="G2" s="3" t="s">
        <v>133</v>
      </c>
      <c r="H2" s="3" t="s">
        <v>134</v>
      </c>
      <c r="I2" s="3" t="s">
        <v>135</v>
      </c>
      <c r="J2" s="3" t="s">
        <v>136</v>
      </c>
      <c r="K2" s="3" t="s">
        <v>137</v>
      </c>
      <c r="L2" s="3" t="s">
        <v>138</v>
      </c>
      <c r="M2" s="3" t="s">
        <v>139</v>
      </c>
      <c r="N2" s="3" t="s">
        <v>140</v>
      </c>
      <c r="O2" s="3" t="s">
        <v>141</v>
      </c>
      <c r="P2" s="3" t="s">
        <v>142</v>
      </c>
      <c r="Q2" s="3" t="s">
        <v>143</v>
      </c>
      <c r="R2" s="3" t="s">
        <v>144</v>
      </c>
      <c r="S2" s="3" t="s">
        <v>145</v>
      </c>
      <c r="T2" s="3" t="s">
        <v>146</v>
      </c>
      <c r="U2" s="3" t="s">
        <v>147</v>
      </c>
      <c r="V2" s="3" t="s">
        <v>148</v>
      </c>
      <c r="W2" s="3" t="s">
        <v>149</v>
      </c>
      <c r="X2" s="3" t="s">
        <v>150</v>
      </c>
      <c r="Y2" s="3" t="s">
        <v>151</v>
      </c>
      <c r="Z2" s="3" t="s">
        <v>152</v>
      </c>
      <c r="AA2" s="3" t="s">
        <v>153</v>
      </c>
      <c r="AB2" s="3" t="s">
        <v>104</v>
      </c>
      <c r="AC2" s="3" t="s">
        <v>108</v>
      </c>
      <c r="AD2" s="3" t="s">
        <v>112</v>
      </c>
      <c r="AE2" s="3" t="s">
        <v>115</v>
      </c>
      <c r="AF2" s="3" t="s">
        <v>118</v>
      </c>
      <c r="AG2" s="3" t="s">
        <v>121</v>
      </c>
      <c r="AH2" s="3" t="s">
        <v>124</v>
      </c>
      <c r="AI2" s="3" t="s">
        <v>154</v>
      </c>
      <c r="AJ2" s="3" t="s">
        <v>155</v>
      </c>
    </row>
    <row r="3" spans="1:36" x14ac:dyDescent="0.3">
      <c r="A3" t="s">
        <v>156</v>
      </c>
      <c r="B3" t="s">
        <v>157</v>
      </c>
      <c r="C3" t="s">
        <v>54</v>
      </c>
      <c r="D3" t="s">
        <v>158</v>
      </c>
      <c r="E3" t="s">
        <v>63</v>
      </c>
      <c r="F3" s="5">
        <v>45907</v>
      </c>
      <c r="G3" s="5">
        <v>45793</v>
      </c>
      <c r="H3" t="s">
        <v>50</v>
      </c>
      <c r="I3" t="s">
        <v>52</v>
      </c>
      <c r="J3" t="s">
        <v>88</v>
      </c>
      <c r="K3" t="s">
        <v>54</v>
      </c>
      <c r="L3" t="s">
        <v>73</v>
      </c>
      <c r="M3" t="s">
        <v>66</v>
      </c>
      <c r="N3">
        <v>4</v>
      </c>
      <c r="O3" t="s">
        <v>64</v>
      </c>
      <c r="P3" t="s">
        <v>54</v>
      </c>
      <c r="Q3" s="5">
        <v>45905</v>
      </c>
      <c r="R3" t="s">
        <v>75</v>
      </c>
      <c r="S3">
        <v>3</v>
      </c>
      <c r="T3">
        <v>1</v>
      </c>
      <c r="U3">
        <v>2</v>
      </c>
      <c r="V3" t="s">
        <v>64</v>
      </c>
      <c r="W3">
        <v>1</v>
      </c>
      <c r="X3" t="s">
        <v>64</v>
      </c>
      <c r="AA3">
        <v>19.8</v>
      </c>
      <c r="AB3" t="b">
        <f t="shared" ref="AB3:AB33" si="0">IF(COUNTA($A3:$AA3)=0,"",AND($K3="yes",OR((COUNTBLANK($E3:$J3)+COUNTBLANK($L3:$P3)+COUNTBLANK($W3:$X3)+COUNTBLANK($AA3))&gt;0,AND($P3="yes",(COUNTBLANK($Q3:$R3)+COUNTBLANK($S3:$V3))&gt;0),AND($X3="yes",$Y3=""))))</f>
        <v>0</v>
      </c>
      <c r="AC3" t="b">
        <f t="shared" ref="AC3:AC33" si="1">IF(COUNTA($A3:$AA3)=0,"",AND($B3&lt;&gt;"",COUNTIF($B$3:$B$33,$B3)&gt;1))</f>
        <v>0</v>
      </c>
      <c r="AD3" t="b">
        <f t="shared" ref="AD3:AD33" si="2">IF(COUNTA($A3:$AA3)=0,"",OR($C3&lt;&gt;"yes",AND($E3&lt;&gt;"",ISNA(MATCH($E3,ValidRounds,0))),AND($H3&lt;&gt;"",ISNA(MATCH($H3,ValidRegions,0))),AND($I3&lt;&gt;"",ISNA(MATCH($I3,ValidSites,0))),AND($J3&lt;&gt;"",ISNA(MATCH($J3,ValidEnumerators,0))),AND($K3&lt;&gt;"",ISNA(MATCH($K3,ValidYesNo,0))),AND($L3&lt;&gt;"",ISNA(MATCH($L3,ValidAgeGroups,0))),AND($M3&lt;&gt;"",ISNA(MATCH($M3,ValidGenders,0))),AND($O3&lt;&gt;"",ISNA(MATCH($O3,ValidYesNo,0))),AND($P3&lt;&gt;"",ISNA(MATCH($P3,ValidYesNo,0))),AND($R3&lt;&gt;"",ISNA(MATCH($R3,ValidTopics,0))),AND($V3&lt;&gt;"",ISNA(MATCH($V3,ValidYesNo,0))),AND($X3&lt;&gt;"",ISNA(MATCH($X3,ValidYesNo,0))),AND($Y3&lt;&gt;"",ISNA(MATCH($Y3,ValidChannels,0)))))</f>
        <v>0</v>
      </c>
      <c r="AE3" t="b">
        <f t="shared" ref="AE3:AE33" si="3">IF(COUNTA($A3:$AA3)=0,"",AND($K3="yes",OR(AND($F3&lt;&gt;"",OR($F3&lt;SurveyStart,$F3&gt;SurveyEnd)),AND($G3&lt;&gt;"",$F3&lt;&gt;"",$G3&gt;$F3),AND($P3="yes",$Q3&lt;&gt;"",$G3&lt;&gt;"",$Q3&lt;$G3),AND($P3="yes",$Q3&lt;&gt;"",$F3&lt;&gt;"",$Q3&gt;$F3))))</f>
        <v>0</v>
      </c>
      <c r="AF3" t="b">
        <f t="shared" ref="AF3:AF33" si="4">IF(COUNTA($A3:$AA3)=0,"",AND($K3="yes",OR(AND($N3&lt;&gt;"",OR($N3&lt;HouseholdMin,$N3&gt;HouseholdMax)),AND($S3&lt;&gt;"",OR($S3&lt;ScoreMin,$S3&gt;ScoreMax)),AND($T3&lt;&gt;"",OR($T3&lt;ScoreMin,$T3&gt;ScoreMax)),AND($U3&lt;&gt;"",OR($U3&lt;ScoreMin,$U3&gt;ScoreMax)),AND($W3&lt;&gt;"",OR($W3&lt;ScoreMin,$W3&gt;ScoreMax)),AND($AA3&lt;&gt;"",OR($AA3&lt;CompletionMin,$AA3&gt;CompletionMax)))))</f>
        <v>0</v>
      </c>
      <c r="AG3" t="b">
        <f t="shared" ref="AG3:AG33" si="5">IF(COUNTA($A3:$AA3)=0,"",AND($K3="yes",$H3&lt;&gt;"",$I3&lt;&gt;"",IFERROR(INDEX(SiteRegionList,MATCH($I3,SiteList,0)),"")&lt;&gt;$H3))</f>
        <v>0</v>
      </c>
      <c r="AH3" t="b">
        <f t="shared" ref="AH3:AH33" si="6">IF(COUNTA($A3:$AA3)=0,"",AND($K3="yes",OR(AND($P3="no",OR($Q3&lt;&gt;"",$R3&lt;&gt;"",$S3&lt;&gt;"",$T3&lt;&gt;"",$U3&lt;&gt;"",$V3&lt;&gt;"")),AND($X3="no",$Y3&lt;&gt;""))))</f>
        <v>0</v>
      </c>
      <c r="AI3">
        <f t="shared" ref="AI3:AI33" si="7">IF(COUNTA($A3:$AA3)=0,"",COUNTIF($AB3:$AH3,TRUE))</f>
        <v>0</v>
      </c>
      <c r="AJ3" t="b">
        <f t="shared" ref="AJ3:AJ33" si="8">IF(COUNTA($A3:$AA3)=0,"",$AI3&gt;0)</f>
        <v>0</v>
      </c>
    </row>
    <row r="4" spans="1:36" x14ac:dyDescent="0.3">
      <c r="A4" t="s">
        <v>159</v>
      </c>
      <c r="B4" t="s">
        <v>160</v>
      </c>
      <c r="C4" t="s">
        <v>54</v>
      </c>
      <c r="D4" t="s">
        <v>158</v>
      </c>
      <c r="E4" t="s">
        <v>53</v>
      </c>
      <c r="F4" s="5">
        <v>45857</v>
      </c>
      <c r="G4" s="5">
        <v>45766</v>
      </c>
      <c r="H4" t="s">
        <v>78</v>
      </c>
      <c r="I4" t="s">
        <v>96</v>
      </c>
      <c r="J4" t="s">
        <v>77</v>
      </c>
      <c r="K4" t="s">
        <v>54</v>
      </c>
      <c r="L4" t="s">
        <v>55</v>
      </c>
      <c r="M4" t="s">
        <v>66</v>
      </c>
      <c r="N4">
        <v>6</v>
      </c>
      <c r="O4" t="s">
        <v>64</v>
      </c>
      <c r="P4" t="s">
        <v>64</v>
      </c>
      <c r="W4">
        <v>3</v>
      </c>
      <c r="X4" t="s">
        <v>64</v>
      </c>
      <c r="AA4">
        <v>8.3000000000000007</v>
      </c>
      <c r="AB4" t="b">
        <f t="shared" si="0"/>
        <v>0</v>
      </c>
      <c r="AC4" t="b">
        <f t="shared" si="1"/>
        <v>0</v>
      </c>
      <c r="AD4" t="b">
        <f t="shared" si="2"/>
        <v>0</v>
      </c>
      <c r="AE4" t="b">
        <f t="shared" si="3"/>
        <v>0</v>
      </c>
      <c r="AF4" t="b">
        <f t="shared" si="4"/>
        <v>0</v>
      </c>
      <c r="AG4" t="b">
        <f t="shared" si="5"/>
        <v>0</v>
      </c>
      <c r="AH4" t="b">
        <f t="shared" si="6"/>
        <v>0</v>
      </c>
      <c r="AI4">
        <f t="shared" si="7"/>
        <v>0</v>
      </c>
      <c r="AJ4" t="b">
        <f t="shared" si="8"/>
        <v>0</v>
      </c>
    </row>
    <row r="5" spans="1:36" x14ac:dyDescent="0.3">
      <c r="A5" t="s">
        <v>161</v>
      </c>
      <c r="B5" t="s">
        <v>162</v>
      </c>
      <c r="C5" t="s">
        <v>54</v>
      </c>
      <c r="D5" t="s">
        <v>158</v>
      </c>
      <c r="E5" t="s">
        <v>53</v>
      </c>
      <c r="F5" s="5">
        <v>45873</v>
      </c>
      <c r="G5" s="5">
        <v>45740</v>
      </c>
      <c r="H5" t="s">
        <v>50</v>
      </c>
      <c r="I5" t="s">
        <v>52</v>
      </c>
      <c r="J5" t="s">
        <v>90</v>
      </c>
      <c r="K5" t="s">
        <v>54</v>
      </c>
      <c r="L5" t="s">
        <v>65</v>
      </c>
      <c r="M5" t="s">
        <v>66</v>
      </c>
      <c r="N5">
        <v>4</v>
      </c>
      <c r="O5" t="s">
        <v>54</v>
      </c>
      <c r="P5" t="s">
        <v>64</v>
      </c>
      <c r="W5">
        <v>5</v>
      </c>
      <c r="X5" t="s">
        <v>64</v>
      </c>
      <c r="AA5">
        <v>16.600000000000001</v>
      </c>
      <c r="AB5" t="b">
        <f t="shared" si="0"/>
        <v>0</v>
      </c>
      <c r="AC5" t="b">
        <f t="shared" si="1"/>
        <v>0</v>
      </c>
      <c r="AD5" t="b">
        <f t="shared" si="2"/>
        <v>0</v>
      </c>
      <c r="AE5" t="b">
        <f t="shared" si="3"/>
        <v>0</v>
      </c>
      <c r="AF5" t="b">
        <f t="shared" si="4"/>
        <v>0</v>
      </c>
      <c r="AG5" t="b">
        <f t="shared" si="5"/>
        <v>0</v>
      </c>
      <c r="AH5" t="b">
        <f t="shared" si="6"/>
        <v>0</v>
      </c>
      <c r="AI5">
        <f t="shared" si="7"/>
        <v>0</v>
      </c>
      <c r="AJ5" t="b">
        <f t="shared" si="8"/>
        <v>0</v>
      </c>
    </row>
    <row r="6" spans="1:36" x14ac:dyDescent="0.3">
      <c r="A6" t="s">
        <v>163</v>
      </c>
      <c r="B6" t="s">
        <v>164</v>
      </c>
      <c r="C6" t="s">
        <v>54</v>
      </c>
      <c r="D6" t="s">
        <v>158</v>
      </c>
      <c r="E6" t="s">
        <v>53</v>
      </c>
      <c r="F6" s="5">
        <v>45851</v>
      </c>
      <c r="G6" s="5">
        <v>45810</v>
      </c>
      <c r="H6" t="s">
        <v>70</v>
      </c>
      <c r="I6" t="s">
        <v>93</v>
      </c>
      <c r="J6" t="s">
        <v>90</v>
      </c>
      <c r="K6" t="s">
        <v>54</v>
      </c>
      <c r="L6" t="s">
        <v>55</v>
      </c>
      <c r="M6" t="s">
        <v>66</v>
      </c>
      <c r="N6">
        <v>8</v>
      </c>
      <c r="O6" t="s">
        <v>64</v>
      </c>
      <c r="P6" t="s">
        <v>54</v>
      </c>
      <c r="Q6" s="5">
        <v>45850</v>
      </c>
      <c r="R6" t="s">
        <v>57</v>
      </c>
      <c r="S6">
        <v>5</v>
      </c>
      <c r="T6">
        <v>2</v>
      </c>
      <c r="U6">
        <v>2</v>
      </c>
      <c r="V6" t="s">
        <v>54</v>
      </c>
      <c r="W6">
        <v>4</v>
      </c>
      <c r="X6" t="s">
        <v>54</v>
      </c>
      <c r="Y6" t="s">
        <v>76</v>
      </c>
      <c r="AA6">
        <v>19.5</v>
      </c>
      <c r="AB6" t="b">
        <f t="shared" si="0"/>
        <v>0</v>
      </c>
      <c r="AC6" t="b">
        <f t="shared" si="1"/>
        <v>1</v>
      </c>
      <c r="AD6" t="b">
        <f t="shared" si="2"/>
        <v>0</v>
      </c>
      <c r="AE6" t="b">
        <f t="shared" si="3"/>
        <v>0</v>
      </c>
      <c r="AF6" t="b">
        <f t="shared" si="4"/>
        <v>0</v>
      </c>
      <c r="AG6" t="b">
        <f t="shared" si="5"/>
        <v>0</v>
      </c>
      <c r="AH6" t="b">
        <f t="shared" si="6"/>
        <v>0</v>
      </c>
      <c r="AI6">
        <f t="shared" si="7"/>
        <v>1</v>
      </c>
      <c r="AJ6" t="b">
        <f t="shared" si="8"/>
        <v>1</v>
      </c>
    </row>
    <row r="7" spans="1:36" x14ac:dyDescent="0.3">
      <c r="A7" t="s">
        <v>165</v>
      </c>
      <c r="B7" t="s">
        <v>164</v>
      </c>
      <c r="C7" t="s">
        <v>54</v>
      </c>
      <c r="D7" t="s">
        <v>158</v>
      </c>
      <c r="E7" t="s">
        <v>53</v>
      </c>
      <c r="F7" s="5">
        <v>45851</v>
      </c>
      <c r="G7" s="5">
        <v>45810</v>
      </c>
      <c r="H7" t="s">
        <v>70</v>
      </c>
      <c r="I7" t="s">
        <v>93</v>
      </c>
      <c r="J7" t="s">
        <v>90</v>
      </c>
      <c r="K7" t="s">
        <v>54</v>
      </c>
      <c r="L7" t="s">
        <v>55</v>
      </c>
      <c r="M7" t="s">
        <v>66</v>
      </c>
      <c r="N7">
        <v>8</v>
      </c>
      <c r="O7" t="s">
        <v>64</v>
      </c>
      <c r="P7" t="s">
        <v>54</v>
      </c>
      <c r="Q7" s="5">
        <v>45850</v>
      </c>
      <c r="R7" t="s">
        <v>57</v>
      </c>
      <c r="S7">
        <v>5</v>
      </c>
      <c r="T7">
        <v>2</v>
      </c>
      <c r="U7">
        <v>2</v>
      </c>
      <c r="V7" t="s">
        <v>54</v>
      </c>
      <c r="W7">
        <v>4</v>
      </c>
      <c r="X7" t="s">
        <v>54</v>
      </c>
      <c r="Y7" t="s">
        <v>76</v>
      </c>
      <c r="AA7">
        <v>19.5</v>
      </c>
      <c r="AB7" t="b">
        <f t="shared" si="0"/>
        <v>0</v>
      </c>
      <c r="AC7" t="b">
        <f t="shared" si="1"/>
        <v>1</v>
      </c>
      <c r="AD7" t="b">
        <f t="shared" si="2"/>
        <v>0</v>
      </c>
      <c r="AE7" t="b">
        <f t="shared" si="3"/>
        <v>0</v>
      </c>
      <c r="AF7" t="b">
        <f t="shared" si="4"/>
        <v>0</v>
      </c>
      <c r="AG7" t="b">
        <f t="shared" si="5"/>
        <v>0</v>
      </c>
      <c r="AH7" t="b">
        <f t="shared" si="6"/>
        <v>0</v>
      </c>
      <c r="AI7">
        <f t="shared" si="7"/>
        <v>1</v>
      </c>
      <c r="AJ7" t="b">
        <f t="shared" si="8"/>
        <v>1</v>
      </c>
    </row>
    <row r="8" spans="1:36" x14ac:dyDescent="0.3">
      <c r="A8" t="s">
        <v>166</v>
      </c>
      <c r="B8" t="s">
        <v>167</v>
      </c>
      <c r="C8" t="s">
        <v>54</v>
      </c>
      <c r="D8" t="s">
        <v>158</v>
      </c>
      <c r="E8" t="s">
        <v>53</v>
      </c>
      <c r="F8" s="5">
        <v>45913</v>
      </c>
      <c r="G8" s="5">
        <v>45852</v>
      </c>
      <c r="H8" t="s">
        <v>50</v>
      </c>
      <c r="I8" t="s">
        <v>72</v>
      </c>
      <c r="J8" t="s">
        <v>92</v>
      </c>
      <c r="K8" t="s">
        <v>54</v>
      </c>
      <c r="L8" t="s">
        <v>65</v>
      </c>
      <c r="N8">
        <v>2</v>
      </c>
      <c r="O8" t="s">
        <v>64</v>
      </c>
      <c r="P8" t="s">
        <v>54</v>
      </c>
      <c r="Q8" s="5">
        <v>45867</v>
      </c>
      <c r="R8" t="s">
        <v>75</v>
      </c>
      <c r="S8">
        <v>4</v>
      </c>
      <c r="T8">
        <v>4</v>
      </c>
      <c r="U8">
        <v>5</v>
      </c>
      <c r="V8" t="s">
        <v>54</v>
      </c>
      <c r="W8">
        <v>4</v>
      </c>
      <c r="X8" t="s">
        <v>64</v>
      </c>
      <c r="AA8">
        <v>12.6</v>
      </c>
      <c r="AB8" t="b">
        <f t="shared" si="0"/>
        <v>1</v>
      </c>
      <c r="AC8" t="b">
        <f t="shared" si="1"/>
        <v>0</v>
      </c>
      <c r="AD8" t="b">
        <f t="shared" si="2"/>
        <v>0</v>
      </c>
      <c r="AE8" t="b">
        <f t="shared" si="3"/>
        <v>0</v>
      </c>
      <c r="AF8" t="b">
        <f t="shared" si="4"/>
        <v>0</v>
      </c>
      <c r="AG8" t="b">
        <f t="shared" si="5"/>
        <v>0</v>
      </c>
      <c r="AH8" t="b">
        <f t="shared" si="6"/>
        <v>0</v>
      </c>
      <c r="AI8">
        <f t="shared" si="7"/>
        <v>1</v>
      </c>
      <c r="AJ8" t="b">
        <f t="shared" si="8"/>
        <v>1</v>
      </c>
    </row>
    <row r="9" spans="1:36" x14ac:dyDescent="0.3">
      <c r="A9" t="s">
        <v>168</v>
      </c>
      <c r="B9" t="s">
        <v>169</v>
      </c>
      <c r="C9" t="s">
        <v>54</v>
      </c>
      <c r="D9" t="s">
        <v>158</v>
      </c>
      <c r="E9" t="s">
        <v>63</v>
      </c>
      <c r="F9" s="5">
        <v>45808</v>
      </c>
      <c r="G9" s="5">
        <v>45701</v>
      </c>
      <c r="H9" t="s">
        <v>170</v>
      </c>
      <c r="I9" t="s">
        <v>95</v>
      </c>
      <c r="J9" t="s">
        <v>69</v>
      </c>
      <c r="K9" t="s">
        <v>54</v>
      </c>
      <c r="L9" t="s">
        <v>65</v>
      </c>
      <c r="M9" t="s">
        <v>56</v>
      </c>
      <c r="N9">
        <v>3</v>
      </c>
      <c r="O9" t="s">
        <v>64</v>
      </c>
      <c r="P9" t="s">
        <v>54</v>
      </c>
      <c r="Q9" s="5">
        <v>45772</v>
      </c>
      <c r="R9" t="s">
        <v>75</v>
      </c>
      <c r="S9">
        <v>4</v>
      </c>
      <c r="T9">
        <v>2</v>
      </c>
      <c r="U9">
        <v>4</v>
      </c>
      <c r="V9" t="s">
        <v>64</v>
      </c>
      <c r="W9">
        <v>3</v>
      </c>
      <c r="X9" t="s">
        <v>64</v>
      </c>
      <c r="AA9">
        <v>15.9</v>
      </c>
      <c r="AB9" t="b">
        <f t="shared" si="0"/>
        <v>0</v>
      </c>
      <c r="AC9" t="b">
        <f t="shared" si="1"/>
        <v>0</v>
      </c>
      <c r="AD9" t="b">
        <f t="shared" si="2"/>
        <v>1</v>
      </c>
      <c r="AE9" t="b">
        <f t="shared" si="3"/>
        <v>0</v>
      </c>
      <c r="AF9" t="b">
        <f t="shared" si="4"/>
        <v>0</v>
      </c>
      <c r="AG9" t="b">
        <f t="shared" si="5"/>
        <v>1</v>
      </c>
      <c r="AH9" t="b">
        <f t="shared" si="6"/>
        <v>0</v>
      </c>
      <c r="AI9">
        <f t="shared" si="7"/>
        <v>2</v>
      </c>
      <c r="AJ9" t="b">
        <f t="shared" si="8"/>
        <v>1</v>
      </c>
    </row>
    <row r="10" spans="1:36" x14ac:dyDescent="0.3">
      <c r="A10" t="s">
        <v>171</v>
      </c>
      <c r="B10" t="s">
        <v>172</v>
      </c>
      <c r="C10" t="s">
        <v>54</v>
      </c>
      <c r="D10" t="s">
        <v>158</v>
      </c>
      <c r="E10" t="s">
        <v>53</v>
      </c>
      <c r="F10" s="5">
        <v>45859</v>
      </c>
      <c r="G10" s="5">
        <v>45814</v>
      </c>
      <c r="H10" t="s">
        <v>60</v>
      </c>
      <c r="I10" t="s">
        <v>86</v>
      </c>
      <c r="J10" t="s">
        <v>85</v>
      </c>
      <c r="K10" t="s">
        <v>54</v>
      </c>
      <c r="L10" t="s">
        <v>55</v>
      </c>
      <c r="M10" t="s">
        <v>56</v>
      </c>
      <c r="N10">
        <v>3</v>
      </c>
      <c r="O10" t="s">
        <v>64</v>
      </c>
      <c r="P10" t="s">
        <v>54</v>
      </c>
      <c r="Q10" s="5">
        <v>45641</v>
      </c>
      <c r="R10" t="s">
        <v>57</v>
      </c>
      <c r="S10">
        <v>4</v>
      </c>
      <c r="T10">
        <v>2</v>
      </c>
      <c r="U10">
        <v>4</v>
      </c>
      <c r="V10" t="s">
        <v>54</v>
      </c>
      <c r="W10">
        <v>4</v>
      </c>
      <c r="X10" t="s">
        <v>54</v>
      </c>
      <c r="Y10" t="s">
        <v>58</v>
      </c>
      <c r="AA10">
        <v>11.6</v>
      </c>
      <c r="AB10" t="b">
        <f t="shared" si="0"/>
        <v>0</v>
      </c>
      <c r="AC10" t="b">
        <f t="shared" si="1"/>
        <v>0</v>
      </c>
      <c r="AD10" t="b">
        <f t="shared" si="2"/>
        <v>0</v>
      </c>
      <c r="AE10" t="b">
        <f t="shared" si="3"/>
        <v>1</v>
      </c>
      <c r="AF10" t="b">
        <f t="shared" si="4"/>
        <v>0</v>
      </c>
      <c r="AG10" t="b">
        <f t="shared" si="5"/>
        <v>0</v>
      </c>
      <c r="AH10" t="b">
        <f t="shared" si="6"/>
        <v>0</v>
      </c>
      <c r="AI10">
        <f t="shared" si="7"/>
        <v>1</v>
      </c>
      <c r="AJ10" t="b">
        <f t="shared" si="8"/>
        <v>1</v>
      </c>
    </row>
    <row r="11" spans="1:36" x14ac:dyDescent="0.3">
      <c r="A11" t="s">
        <v>173</v>
      </c>
      <c r="B11" t="s">
        <v>174</v>
      </c>
      <c r="C11" t="s">
        <v>54</v>
      </c>
      <c r="D11" t="s">
        <v>158</v>
      </c>
      <c r="E11" t="s">
        <v>63</v>
      </c>
      <c r="F11" s="5">
        <v>45890</v>
      </c>
      <c r="G11" s="5">
        <v>45789</v>
      </c>
      <c r="H11" t="s">
        <v>78</v>
      </c>
      <c r="I11" t="s">
        <v>96</v>
      </c>
      <c r="J11" t="s">
        <v>69</v>
      </c>
      <c r="K11" t="s">
        <v>54</v>
      </c>
      <c r="L11" t="s">
        <v>55</v>
      </c>
      <c r="M11" t="s">
        <v>56</v>
      </c>
      <c r="N11">
        <v>7</v>
      </c>
      <c r="O11" t="s">
        <v>64</v>
      </c>
      <c r="P11" t="s">
        <v>54</v>
      </c>
      <c r="Q11" s="5">
        <v>45866</v>
      </c>
      <c r="R11" t="s">
        <v>67</v>
      </c>
      <c r="S11">
        <v>4</v>
      </c>
      <c r="T11">
        <v>4</v>
      </c>
      <c r="U11">
        <v>5</v>
      </c>
      <c r="V11" t="s">
        <v>64</v>
      </c>
      <c r="W11">
        <v>3</v>
      </c>
      <c r="X11" t="s">
        <v>64</v>
      </c>
      <c r="AA11">
        <v>180</v>
      </c>
      <c r="AB11" t="b">
        <f t="shared" si="0"/>
        <v>0</v>
      </c>
      <c r="AC11" t="b">
        <f t="shared" si="1"/>
        <v>0</v>
      </c>
      <c r="AD11" t="b">
        <f t="shared" si="2"/>
        <v>0</v>
      </c>
      <c r="AE11" t="b">
        <f t="shared" si="3"/>
        <v>0</v>
      </c>
      <c r="AF11" t="b">
        <f t="shared" si="4"/>
        <v>1</v>
      </c>
      <c r="AG11" t="b">
        <f t="shared" si="5"/>
        <v>0</v>
      </c>
      <c r="AH11" t="b">
        <f t="shared" si="6"/>
        <v>0</v>
      </c>
      <c r="AI11">
        <f t="shared" si="7"/>
        <v>1</v>
      </c>
      <c r="AJ11" t="b">
        <f t="shared" si="8"/>
        <v>1</v>
      </c>
    </row>
    <row r="12" spans="1:36" x14ac:dyDescent="0.3">
      <c r="A12" t="s">
        <v>175</v>
      </c>
      <c r="B12" t="s">
        <v>176</v>
      </c>
      <c r="C12" t="s">
        <v>54</v>
      </c>
      <c r="D12" t="s">
        <v>158</v>
      </c>
      <c r="E12" t="s">
        <v>63</v>
      </c>
      <c r="F12" s="5">
        <v>45925</v>
      </c>
      <c r="G12" s="5">
        <v>45832</v>
      </c>
      <c r="H12" t="s">
        <v>60</v>
      </c>
      <c r="I12" t="s">
        <v>91</v>
      </c>
      <c r="J12" t="s">
        <v>59</v>
      </c>
      <c r="K12" t="s">
        <v>54</v>
      </c>
      <c r="L12" t="s">
        <v>65</v>
      </c>
      <c r="M12" t="s">
        <v>56</v>
      </c>
      <c r="N12">
        <v>3</v>
      </c>
      <c r="O12" t="s">
        <v>54</v>
      </c>
      <c r="P12" t="s">
        <v>54</v>
      </c>
      <c r="Q12" s="5">
        <v>45905</v>
      </c>
      <c r="R12" t="s">
        <v>75</v>
      </c>
      <c r="S12">
        <v>3</v>
      </c>
      <c r="T12">
        <v>2</v>
      </c>
      <c r="U12">
        <v>3</v>
      </c>
      <c r="V12" t="s">
        <v>54</v>
      </c>
      <c r="W12">
        <v>3</v>
      </c>
      <c r="X12" t="s">
        <v>64</v>
      </c>
      <c r="AA12">
        <v>22.6</v>
      </c>
      <c r="AB12" t="b">
        <f t="shared" si="0"/>
        <v>0</v>
      </c>
      <c r="AC12" t="b">
        <f t="shared" si="1"/>
        <v>0</v>
      </c>
      <c r="AD12" t="b">
        <f t="shared" si="2"/>
        <v>0</v>
      </c>
      <c r="AE12" t="b">
        <f t="shared" si="3"/>
        <v>0</v>
      </c>
      <c r="AF12" t="b">
        <f t="shared" si="4"/>
        <v>0</v>
      </c>
      <c r="AG12" t="b">
        <f t="shared" si="5"/>
        <v>1</v>
      </c>
      <c r="AH12" t="b">
        <f t="shared" si="6"/>
        <v>0</v>
      </c>
      <c r="AI12">
        <f t="shared" si="7"/>
        <v>1</v>
      </c>
      <c r="AJ12" t="b">
        <f t="shared" si="8"/>
        <v>1</v>
      </c>
    </row>
    <row r="13" spans="1:36" x14ac:dyDescent="0.3">
      <c r="A13" t="s">
        <v>177</v>
      </c>
      <c r="B13" t="s">
        <v>178</v>
      </c>
      <c r="C13" t="s">
        <v>54</v>
      </c>
      <c r="D13" t="s">
        <v>158</v>
      </c>
      <c r="E13" t="s">
        <v>63</v>
      </c>
      <c r="F13" s="5">
        <v>45781</v>
      </c>
      <c r="G13" s="5">
        <v>45673</v>
      </c>
      <c r="H13" t="s">
        <v>78</v>
      </c>
      <c r="I13" t="s">
        <v>98</v>
      </c>
      <c r="J13" t="s">
        <v>88</v>
      </c>
      <c r="K13" t="s">
        <v>54</v>
      </c>
      <c r="L13" t="s">
        <v>65</v>
      </c>
      <c r="M13" t="s">
        <v>56</v>
      </c>
      <c r="N13">
        <v>4</v>
      </c>
      <c r="O13" t="s">
        <v>54</v>
      </c>
      <c r="P13" t="s">
        <v>64</v>
      </c>
      <c r="Q13" s="5">
        <v>45781</v>
      </c>
      <c r="R13" t="s">
        <v>75</v>
      </c>
      <c r="S13">
        <v>4</v>
      </c>
      <c r="T13">
        <v>2</v>
      </c>
      <c r="U13">
        <v>4</v>
      </c>
      <c r="V13" t="s">
        <v>54</v>
      </c>
      <c r="W13">
        <v>2</v>
      </c>
      <c r="X13" t="s">
        <v>64</v>
      </c>
      <c r="AA13">
        <v>17.5</v>
      </c>
      <c r="AB13" t="b">
        <f t="shared" si="0"/>
        <v>0</v>
      </c>
      <c r="AC13" t="b">
        <f t="shared" si="1"/>
        <v>0</v>
      </c>
      <c r="AD13" t="b">
        <f t="shared" si="2"/>
        <v>0</v>
      </c>
      <c r="AE13" t="b">
        <f t="shared" si="3"/>
        <v>0</v>
      </c>
      <c r="AF13" t="b">
        <f t="shared" si="4"/>
        <v>0</v>
      </c>
      <c r="AG13" t="b">
        <f t="shared" si="5"/>
        <v>0</v>
      </c>
      <c r="AH13" t="b">
        <f t="shared" si="6"/>
        <v>1</v>
      </c>
      <c r="AI13">
        <f t="shared" si="7"/>
        <v>1</v>
      </c>
      <c r="AJ13" t="b">
        <f t="shared" si="8"/>
        <v>1</v>
      </c>
    </row>
    <row r="14" spans="1:36" x14ac:dyDescent="0.3">
      <c r="AB14" t="str">
        <f t="shared" si="0"/>
        <v/>
      </c>
      <c r="AC14" t="str">
        <f t="shared" si="1"/>
        <v/>
      </c>
      <c r="AD14" t="str">
        <f t="shared" si="2"/>
        <v/>
      </c>
      <c r="AE14" t="str">
        <f t="shared" si="3"/>
        <v/>
      </c>
      <c r="AF14" t="str">
        <f t="shared" si="4"/>
        <v/>
      </c>
      <c r="AG14" t="str">
        <f t="shared" si="5"/>
        <v/>
      </c>
      <c r="AH14" t="str">
        <f t="shared" si="6"/>
        <v/>
      </c>
      <c r="AI14" t="str">
        <f t="shared" si="7"/>
        <v/>
      </c>
      <c r="AJ14" t="str">
        <f t="shared" si="8"/>
        <v/>
      </c>
    </row>
    <row r="15" spans="1:36" x14ac:dyDescent="0.3">
      <c r="AB15" t="str">
        <f t="shared" si="0"/>
        <v/>
      </c>
      <c r="AC15" t="str">
        <f t="shared" si="1"/>
        <v/>
      </c>
      <c r="AD15" t="str">
        <f t="shared" si="2"/>
        <v/>
      </c>
      <c r="AE15" t="str">
        <f t="shared" si="3"/>
        <v/>
      </c>
      <c r="AF15" t="str">
        <f t="shared" si="4"/>
        <v/>
      </c>
      <c r="AG15" t="str">
        <f t="shared" si="5"/>
        <v/>
      </c>
      <c r="AH15" t="str">
        <f t="shared" si="6"/>
        <v/>
      </c>
      <c r="AI15" t="str">
        <f t="shared" si="7"/>
        <v/>
      </c>
      <c r="AJ15" t="str">
        <f t="shared" si="8"/>
        <v/>
      </c>
    </row>
    <row r="16" spans="1:36" x14ac:dyDescent="0.3">
      <c r="AB16" t="str">
        <f t="shared" si="0"/>
        <v/>
      </c>
      <c r="AC16" t="str">
        <f t="shared" si="1"/>
        <v/>
      </c>
      <c r="AD16" t="str">
        <f t="shared" si="2"/>
        <v/>
      </c>
      <c r="AE16" t="str">
        <f t="shared" si="3"/>
        <v/>
      </c>
      <c r="AF16" t="str">
        <f t="shared" si="4"/>
        <v/>
      </c>
      <c r="AG16" t="str">
        <f t="shared" si="5"/>
        <v/>
      </c>
      <c r="AH16" t="str">
        <f t="shared" si="6"/>
        <v/>
      </c>
      <c r="AI16" t="str">
        <f t="shared" si="7"/>
        <v/>
      </c>
      <c r="AJ16" t="str">
        <f t="shared" si="8"/>
        <v/>
      </c>
    </row>
    <row r="17" spans="28:36" x14ac:dyDescent="0.3">
      <c r="AB17" t="str">
        <f t="shared" si="0"/>
        <v/>
      </c>
      <c r="AC17" t="str">
        <f t="shared" si="1"/>
        <v/>
      </c>
      <c r="AD17" t="str">
        <f t="shared" si="2"/>
        <v/>
      </c>
      <c r="AE17" t="str">
        <f t="shared" si="3"/>
        <v/>
      </c>
      <c r="AF17" t="str">
        <f t="shared" si="4"/>
        <v/>
      </c>
      <c r="AG17" t="str">
        <f t="shared" si="5"/>
        <v/>
      </c>
      <c r="AH17" t="str">
        <f t="shared" si="6"/>
        <v/>
      </c>
      <c r="AI17" t="str">
        <f t="shared" si="7"/>
        <v/>
      </c>
      <c r="AJ17" t="str">
        <f t="shared" si="8"/>
        <v/>
      </c>
    </row>
    <row r="18" spans="28:36" x14ac:dyDescent="0.3">
      <c r="AB18" t="str">
        <f t="shared" si="0"/>
        <v/>
      </c>
      <c r="AC18" t="str">
        <f t="shared" si="1"/>
        <v/>
      </c>
      <c r="AD18" t="str">
        <f t="shared" si="2"/>
        <v/>
      </c>
      <c r="AE18" t="str">
        <f t="shared" si="3"/>
        <v/>
      </c>
      <c r="AF18" t="str">
        <f t="shared" si="4"/>
        <v/>
      </c>
      <c r="AG18" t="str">
        <f t="shared" si="5"/>
        <v/>
      </c>
      <c r="AH18" t="str">
        <f t="shared" si="6"/>
        <v/>
      </c>
      <c r="AI18" t="str">
        <f t="shared" si="7"/>
        <v/>
      </c>
      <c r="AJ18" t="str">
        <f t="shared" si="8"/>
        <v/>
      </c>
    </row>
    <row r="19" spans="28:36" x14ac:dyDescent="0.3">
      <c r="AB19" t="str">
        <f t="shared" si="0"/>
        <v/>
      </c>
      <c r="AC19" t="str">
        <f t="shared" si="1"/>
        <v/>
      </c>
      <c r="AD19" t="str">
        <f t="shared" si="2"/>
        <v/>
      </c>
      <c r="AE19" t="str">
        <f t="shared" si="3"/>
        <v/>
      </c>
      <c r="AF19" t="str">
        <f t="shared" si="4"/>
        <v/>
      </c>
      <c r="AG19" t="str">
        <f t="shared" si="5"/>
        <v/>
      </c>
      <c r="AH19" t="str">
        <f t="shared" si="6"/>
        <v/>
      </c>
      <c r="AI19" t="str">
        <f t="shared" si="7"/>
        <v/>
      </c>
      <c r="AJ19" t="str">
        <f t="shared" si="8"/>
        <v/>
      </c>
    </row>
    <row r="20" spans="28:36" x14ac:dyDescent="0.3">
      <c r="AB20" t="str">
        <f t="shared" si="0"/>
        <v/>
      </c>
      <c r="AC20" t="str">
        <f t="shared" si="1"/>
        <v/>
      </c>
      <c r="AD20" t="str">
        <f t="shared" si="2"/>
        <v/>
      </c>
      <c r="AE20" t="str">
        <f t="shared" si="3"/>
        <v/>
      </c>
      <c r="AF20" t="str">
        <f t="shared" si="4"/>
        <v/>
      </c>
      <c r="AG20" t="str">
        <f t="shared" si="5"/>
        <v/>
      </c>
      <c r="AH20" t="str">
        <f t="shared" si="6"/>
        <v/>
      </c>
      <c r="AI20" t="str">
        <f t="shared" si="7"/>
        <v/>
      </c>
      <c r="AJ20" t="str">
        <f t="shared" si="8"/>
        <v/>
      </c>
    </row>
    <row r="21" spans="28:36" x14ac:dyDescent="0.3">
      <c r="AB21" t="str">
        <f t="shared" si="0"/>
        <v/>
      </c>
      <c r="AC21" t="str">
        <f t="shared" si="1"/>
        <v/>
      </c>
      <c r="AD21" t="str">
        <f t="shared" si="2"/>
        <v/>
      </c>
      <c r="AE21" t="str">
        <f t="shared" si="3"/>
        <v/>
      </c>
      <c r="AF21" t="str">
        <f t="shared" si="4"/>
        <v/>
      </c>
      <c r="AG21" t="str">
        <f t="shared" si="5"/>
        <v/>
      </c>
      <c r="AH21" t="str">
        <f t="shared" si="6"/>
        <v/>
      </c>
      <c r="AI21" t="str">
        <f t="shared" si="7"/>
        <v/>
      </c>
      <c r="AJ21" t="str">
        <f t="shared" si="8"/>
        <v/>
      </c>
    </row>
    <row r="22" spans="28:36" x14ac:dyDescent="0.3">
      <c r="AB22" t="str">
        <f t="shared" si="0"/>
        <v/>
      </c>
      <c r="AC22" t="str">
        <f t="shared" si="1"/>
        <v/>
      </c>
      <c r="AD22" t="str">
        <f t="shared" si="2"/>
        <v/>
      </c>
      <c r="AE22" t="str">
        <f t="shared" si="3"/>
        <v/>
      </c>
      <c r="AF22" t="str">
        <f t="shared" si="4"/>
        <v/>
      </c>
      <c r="AG22" t="str">
        <f t="shared" si="5"/>
        <v/>
      </c>
      <c r="AH22" t="str">
        <f t="shared" si="6"/>
        <v/>
      </c>
      <c r="AI22" t="str">
        <f t="shared" si="7"/>
        <v/>
      </c>
      <c r="AJ22" t="str">
        <f t="shared" si="8"/>
        <v/>
      </c>
    </row>
    <row r="23" spans="28:36" x14ac:dyDescent="0.3">
      <c r="AB23" t="str">
        <f t="shared" si="0"/>
        <v/>
      </c>
      <c r="AC23" t="str">
        <f t="shared" si="1"/>
        <v/>
      </c>
      <c r="AD23" t="str">
        <f t="shared" si="2"/>
        <v/>
      </c>
      <c r="AE23" t="str">
        <f t="shared" si="3"/>
        <v/>
      </c>
      <c r="AF23" t="str">
        <f t="shared" si="4"/>
        <v/>
      </c>
      <c r="AG23" t="str">
        <f t="shared" si="5"/>
        <v/>
      </c>
      <c r="AH23" t="str">
        <f t="shared" si="6"/>
        <v/>
      </c>
      <c r="AI23" t="str">
        <f t="shared" si="7"/>
        <v/>
      </c>
      <c r="AJ23" t="str">
        <f t="shared" si="8"/>
        <v/>
      </c>
    </row>
    <row r="24" spans="28:36" x14ac:dyDescent="0.3">
      <c r="AB24" t="str">
        <f t="shared" si="0"/>
        <v/>
      </c>
      <c r="AC24" t="str">
        <f t="shared" si="1"/>
        <v/>
      </c>
      <c r="AD24" t="str">
        <f t="shared" si="2"/>
        <v/>
      </c>
      <c r="AE24" t="str">
        <f t="shared" si="3"/>
        <v/>
      </c>
      <c r="AF24" t="str">
        <f t="shared" si="4"/>
        <v/>
      </c>
      <c r="AG24" t="str">
        <f t="shared" si="5"/>
        <v/>
      </c>
      <c r="AH24" t="str">
        <f t="shared" si="6"/>
        <v/>
      </c>
      <c r="AI24" t="str">
        <f t="shared" si="7"/>
        <v/>
      </c>
      <c r="AJ24" t="str">
        <f t="shared" si="8"/>
        <v/>
      </c>
    </row>
    <row r="25" spans="28:36" x14ac:dyDescent="0.3">
      <c r="AB25" t="str">
        <f t="shared" si="0"/>
        <v/>
      </c>
      <c r="AC25" t="str">
        <f t="shared" si="1"/>
        <v/>
      </c>
      <c r="AD25" t="str">
        <f t="shared" si="2"/>
        <v/>
      </c>
      <c r="AE25" t="str">
        <f t="shared" si="3"/>
        <v/>
      </c>
      <c r="AF25" t="str">
        <f t="shared" si="4"/>
        <v/>
      </c>
      <c r="AG25" t="str">
        <f t="shared" si="5"/>
        <v/>
      </c>
      <c r="AH25" t="str">
        <f t="shared" si="6"/>
        <v/>
      </c>
      <c r="AI25" t="str">
        <f t="shared" si="7"/>
        <v/>
      </c>
      <c r="AJ25" t="str">
        <f t="shared" si="8"/>
        <v/>
      </c>
    </row>
    <row r="26" spans="28:36" x14ac:dyDescent="0.3">
      <c r="AB26" t="str">
        <f t="shared" si="0"/>
        <v/>
      </c>
      <c r="AC26" t="str">
        <f t="shared" si="1"/>
        <v/>
      </c>
      <c r="AD26" t="str">
        <f t="shared" si="2"/>
        <v/>
      </c>
      <c r="AE26" t="str">
        <f t="shared" si="3"/>
        <v/>
      </c>
      <c r="AF26" t="str">
        <f t="shared" si="4"/>
        <v/>
      </c>
      <c r="AG26" t="str">
        <f t="shared" si="5"/>
        <v/>
      </c>
      <c r="AH26" t="str">
        <f t="shared" si="6"/>
        <v/>
      </c>
      <c r="AI26" t="str">
        <f t="shared" si="7"/>
        <v/>
      </c>
      <c r="AJ26" t="str">
        <f t="shared" si="8"/>
        <v/>
      </c>
    </row>
    <row r="27" spans="28:36" x14ac:dyDescent="0.3">
      <c r="AB27" t="str">
        <f t="shared" si="0"/>
        <v/>
      </c>
      <c r="AC27" t="str">
        <f t="shared" si="1"/>
        <v/>
      </c>
      <c r="AD27" t="str">
        <f t="shared" si="2"/>
        <v/>
      </c>
      <c r="AE27" t="str">
        <f t="shared" si="3"/>
        <v/>
      </c>
      <c r="AF27" t="str">
        <f t="shared" si="4"/>
        <v/>
      </c>
      <c r="AG27" t="str">
        <f t="shared" si="5"/>
        <v/>
      </c>
      <c r="AH27" t="str">
        <f t="shared" si="6"/>
        <v/>
      </c>
      <c r="AI27" t="str">
        <f t="shared" si="7"/>
        <v/>
      </c>
      <c r="AJ27" t="str">
        <f t="shared" si="8"/>
        <v/>
      </c>
    </row>
    <row r="28" spans="28:36" x14ac:dyDescent="0.3">
      <c r="AB28" t="str">
        <f t="shared" si="0"/>
        <v/>
      </c>
      <c r="AC28" t="str">
        <f t="shared" si="1"/>
        <v/>
      </c>
      <c r="AD28" t="str">
        <f t="shared" si="2"/>
        <v/>
      </c>
      <c r="AE28" t="str">
        <f t="shared" si="3"/>
        <v/>
      </c>
      <c r="AF28" t="str">
        <f t="shared" si="4"/>
        <v/>
      </c>
      <c r="AG28" t="str">
        <f t="shared" si="5"/>
        <v/>
      </c>
      <c r="AH28" t="str">
        <f t="shared" si="6"/>
        <v/>
      </c>
      <c r="AI28" t="str">
        <f t="shared" si="7"/>
        <v/>
      </c>
      <c r="AJ28" t="str">
        <f t="shared" si="8"/>
        <v/>
      </c>
    </row>
    <row r="29" spans="28:36" x14ac:dyDescent="0.3">
      <c r="AB29" t="str">
        <f t="shared" si="0"/>
        <v/>
      </c>
      <c r="AC29" t="str">
        <f t="shared" si="1"/>
        <v/>
      </c>
      <c r="AD29" t="str">
        <f t="shared" si="2"/>
        <v/>
      </c>
      <c r="AE29" t="str">
        <f t="shared" si="3"/>
        <v/>
      </c>
      <c r="AF29" t="str">
        <f t="shared" si="4"/>
        <v/>
      </c>
      <c r="AG29" t="str">
        <f t="shared" si="5"/>
        <v/>
      </c>
      <c r="AH29" t="str">
        <f t="shared" si="6"/>
        <v/>
      </c>
      <c r="AI29" t="str">
        <f t="shared" si="7"/>
        <v/>
      </c>
      <c r="AJ29" t="str">
        <f t="shared" si="8"/>
        <v/>
      </c>
    </row>
    <row r="30" spans="28:36" x14ac:dyDescent="0.3">
      <c r="AB30" t="str">
        <f t="shared" si="0"/>
        <v/>
      </c>
      <c r="AC30" t="str">
        <f t="shared" si="1"/>
        <v/>
      </c>
      <c r="AD30" t="str">
        <f t="shared" si="2"/>
        <v/>
      </c>
      <c r="AE30" t="str">
        <f t="shared" si="3"/>
        <v/>
      </c>
      <c r="AF30" t="str">
        <f t="shared" si="4"/>
        <v/>
      </c>
      <c r="AG30" t="str">
        <f t="shared" si="5"/>
        <v/>
      </c>
      <c r="AH30" t="str">
        <f t="shared" si="6"/>
        <v/>
      </c>
      <c r="AI30" t="str">
        <f t="shared" si="7"/>
        <v/>
      </c>
      <c r="AJ30" t="str">
        <f t="shared" si="8"/>
        <v/>
      </c>
    </row>
    <row r="31" spans="28:36" x14ac:dyDescent="0.3">
      <c r="AB31" t="str">
        <f t="shared" si="0"/>
        <v/>
      </c>
      <c r="AC31" t="str">
        <f t="shared" si="1"/>
        <v/>
      </c>
      <c r="AD31" t="str">
        <f t="shared" si="2"/>
        <v/>
      </c>
      <c r="AE31" t="str">
        <f t="shared" si="3"/>
        <v/>
      </c>
      <c r="AF31" t="str">
        <f t="shared" si="4"/>
        <v/>
      </c>
      <c r="AG31" t="str">
        <f t="shared" si="5"/>
        <v/>
      </c>
      <c r="AH31" t="str">
        <f t="shared" si="6"/>
        <v/>
      </c>
      <c r="AI31" t="str">
        <f t="shared" si="7"/>
        <v/>
      </c>
      <c r="AJ31" t="str">
        <f t="shared" si="8"/>
        <v/>
      </c>
    </row>
    <row r="32" spans="28:36" x14ac:dyDescent="0.3">
      <c r="AB32" t="str">
        <f t="shared" si="0"/>
        <v/>
      </c>
      <c r="AC32" t="str">
        <f t="shared" si="1"/>
        <v/>
      </c>
      <c r="AD32" t="str">
        <f t="shared" si="2"/>
        <v/>
      </c>
      <c r="AE32" t="str">
        <f t="shared" si="3"/>
        <v/>
      </c>
      <c r="AF32" t="str">
        <f t="shared" si="4"/>
        <v/>
      </c>
      <c r="AG32" t="str">
        <f t="shared" si="5"/>
        <v/>
      </c>
      <c r="AH32" t="str">
        <f t="shared" si="6"/>
        <v/>
      </c>
      <c r="AI32" t="str">
        <f t="shared" si="7"/>
        <v/>
      </c>
      <c r="AJ32" t="str">
        <f t="shared" si="8"/>
        <v/>
      </c>
    </row>
    <row r="33" spans="28:36" x14ac:dyDescent="0.3"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/>
      </c>
      <c r="AF33" t="str">
        <f t="shared" si="4"/>
        <v/>
      </c>
      <c r="AG33" t="str">
        <f t="shared" si="5"/>
        <v/>
      </c>
      <c r="AH33" t="str">
        <f t="shared" si="6"/>
        <v/>
      </c>
      <c r="AI33" t="str">
        <f t="shared" si="7"/>
        <v/>
      </c>
      <c r="AJ33" t="str">
        <f t="shared" si="8"/>
        <v/>
      </c>
    </row>
  </sheetData>
  <mergeCells count="1">
    <mergeCell ref="A1:AJ1"/>
  </mergeCells>
  <conditionalFormatting sqref="A3:AA33">
    <cfRule type="expression" dxfId="1" priority="1">
      <formula>$AJ3=TRUE</formula>
    </cfRule>
  </conditionalFormatting>
  <conditionalFormatting sqref="AB3:AH33">
    <cfRule type="expression" dxfId="0" priority="2">
      <formula>AB3=TRUE</formula>
    </cfRule>
  </conditionalFormatting>
  <dataValidations count="20">
    <dataValidation type="list" allowBlank="1" errorTitle="Invalid code" error="Choose a value from the survey_round list." prompt="Select a valid survey_round." sqref="E3:E33" xr:uid="{00000000-0002-0000-0400-000000000000}">
      <formula1>ValidRounds</formula1>
    </dataValidation>
    <dataValidation type="list" allowBlank="1" errorTitle="Invalid code" error="Choose a value from the region_code list." prompt="Select a valid region_code." sqref="H3:H33" xr:uid="{00000000-0002-0000-0400-000001000000}">
      <formula1>ValidRegions</formula1>
    </dataValidation>
    <dataValidation type="list" allowBlank="1" errorTitle="Invalid code" error="Choose a value from the site_code list." prompt="Select a valid site_code." sqref="I3:I33" xr:uid="{00000000-0002-0000-0400-000002000000}">
      <formula1>ValidSites</formula1>
    </dataValidation>
    <dataValidation type="list" allowBlank="1" errorTitle="Invalid code" error="Choose a value from the enumerator_code list." prompt="Select a valid enumerator_code." sqref="J3:J33" xr:uid="{00000000-0002-0000-0400-000003000000}">
      <formula1>ValidEnumerators</formula1>
    </dataValidation>
    <dataValidation type="list" allowBlank="1" errorTitle="Invalid code" error="Choose a value from the consent list." prompt="Select a valid consent." sqref="K3:K33" xr:uid="{00000000-0002-0000-0400-000004000000}">
      <formula1>ValidYesNo</formula1>
    </dataValidation>
    <dataValidation type="list" allowBlank="1" errorTitle="Invalid code" error="Choose a value from the age_group list." prompt="Select a valid age_group." sqref="L3:L33" xr:uid="{00000000-0002-0000-0400-000005000000}">
      <formula1>ValidAgeGroups</formula1>
    </dataValidation>
    <dataValidation type="list" allowBlank="1" errorTitle="Invalid code" error="Choose a value from the gender list." prompt="Select a valid gender." sqref="M3:M33" xr:uid="{00000000-0002-0000-0400-000006000000}">
      <formula1>ValidGenders</formula1>
    </dataValidation>
    <dataValidation type="list" allowBlank="1" errorTitle="Invalid code" error="Choose a value from the disability_access list." prompt="Select a valid disability_access." sqref="O3:O33" xr:uid="{00000000-0002-0000-0400-000007000000}">
      <formula1>ValidYesNo</formula1>
    </dataValidation>
    <dataValidation type="list" allowBlank="1" errorTitle="Invalid code" error="Choose a value from the participated_training list." prompt="Select a valid participated_training." sqref="P3:P33" xr:uid="{00000000-0002-0000-0400-000008000000}">
      <formula1>ValidYesNo</formula1>
    </dataValidation>
    <dataValidation type="list" allowBlank="1" errorTitle="Invalid code" error="Choose a value from the training_topic list." prompt="Select a valid training_topic." sqref="R3:R33" xr:uid="{00000000-0002-0000-0400-000009000000}">
      <formula1>ValidTopics</formula1>
    </dataValidation>
    <dataValidation type="list" allowBlank="1" errorTitle="Invalid code" error="Choose a value from the used_skill list." prompt="Select a valid used_skill." sqref="V3:V33" xr:uid="{00000000-0002-0000-0400-00000A000000}">
      <formula1>ValidYesNo</formula1>
    </dataValidation>
    <dataValidation type="list" allowBlank="1" errorTitle="Invalid code" error="Choose a value from the follow_up_requested list." prompt="Select a valid follow_up_requested." sqref="X3:X33" xr:uid="{00000000-0002-0000-0400-00000B000000}">
      <formula1>ValidYesNo</formula1>
    </dataValidation>
    <dataValidation type="list" allowBlank="1" errorTitle="Invalid code" error="Choose a value from the preferred_channel list." prompt="Select a valid preferred_channel." sqref="Y3:Y33" xr:uid="{00000000-0002-0000-0400-00000C000000}">
      <formula1>ValidChannels</formula1>
    </dataValidation>
    <dataValidation type="whole" allowBlank="1" errorTitle="Out of range" error="household_size must be between the configured bounds." sqref="N3:N33" xr:uid="{00000000-0002-0000-0400-00000D000000}">
      <formula1>HouseholdMin</formula1>
      <formula2>HouseholdMax</formula2>
    </dataValidation>
    <dataValidation type="whole" allowBlank="1" errorTitle="Out of range" error="satisfaction_score must be between the configured bounds." sqref="S3:S33" xr:uid="{00000000-0002-0000-0400-00000E000000}">
      <formula1>ScoreMin</formula1>
      <formula2>ScoreMax</formula2>
    </dataValidation>
    <dataValidation type="whole" allowBlank="1" errorTitle="Out of range" error="knowledge_before must be between the configured bounds." sqref="T3:T33" xr:uid="{00000000-0002-0000-0400-00000F000000}">
      <formula1>ScoreMin</formula1>
      <formula2>ScoreMax</formula2>
    </dataValidation>
    <dataValidation type="whole" allowBlank="1" errorTitle="Out of range" error="knowledge_after must be between the configured bounds." sqref="U3:U33" xr:uid="{00000000-0002-0000-0400-000010000000}">
      <formula1>ScoreMin</formula1>
      <formula2>ScoreMax</formula2>
    </dataValidation>
    <dataValidation type="whole" allowBlank="1" errorTitle="Out of range" error="service_access must be between the configured bounds." sqref="W3:W33" xr:uid="{00000000-0002-0000-0400-000011000000}">
      <formula1>ScoreMin</formula1>
      <formula2>ScoreMax</formula2>
    </dataValidation>
    <dataValidation type="decimal" allowBlank="1" errorTitle="Out of range" error="completion_minutes must be within the configured bounds." sqref="AA3:AA33" xr:uid="{00000000-0002-0000-0400-000012000000}">
      <formula1>CompletionMin</formula1>
      <formula2>CompletionMax</formula2>
    </dataValidation>
    <dataValidation type="date" allowBlank="1" errorTitle="Date outside window" error="interview_date must fall inside the survey window." sqref="F3:F33" xr:uid="{00000000-0002-0000-0400-000013000000}">
      <formula1>SurveyStart</formula1>
      <formula2>SurveyEnd</formula2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F7"/>
  <sheetViews>
    <sheetView workbookViewId="0">
      <pane ySplit="2" topLeftCell="A3" activePane="bottomLeft" state="frozen"/>
      <selection pane="bottomLeft" sqref="A1:F1"/>
    </sheetView>
  </sheetViews>
  <sheetFormatPr defaultRowHeight="14.4" x14ac:dyDescent="0.3"/>
  <cols>
    <col min="1" max="6" width="18" customWidth="1"/>
  </cols>
  <sheetData>
    <row r="1" spans="1:6" ht="28.05" customHeight="1" x14ac:dyDescent="0.3">
      <c r="A1" s="13" t="s">
        <v>179</v>
      </c>
      <c r="B1" s="14"/>
      <c r="C1" s="14"/>
      <c r="D1" s="14"/>
      <c r="E1" s="14"/>
      <c r="F1" s="14"/>
    </row>
    <row r="2" spans="1:6" x14ac:dyDescent="0.3">
      <c r="A2" s="3" t="s">
        <v>39</v>
      </c>
      <c r="B2" s="3" t="s">
        <v>180</v>
      </c>
      <c r="C2" s="3" t="s">
        <v>181</v>
      </c>
      <c r="D2" s="3" t="s">
        <v>182</v>
      </c>
      <c r="E2" s="3" t="s">
        <v>183</v>
      </c>
      <c r="F2" s="3" t="s">
        <v>184</v>
      </c>
    </row>
    <row r="3" spans="1:6" x14ac:dyDescent="0.3">
      <c r="A3" t="s">
        <v>50</v>
      </c>
      <c r="B3">
        <f>COUNTIFS(Entry_Demo!$H$3:$H$33,$A3,Entry_Demo!$E$3:$E$33,"ROUND_1")</f>
        <v>2</v>
      </c>
      <c r="C3">
        <f>COUNTIFS(Entry_Demo!$H$3:$H$33,$A3,Entry_Demo!$E$3:$E$33,"ROUND_2")</f>
        <v>1</v>
      </c>
      <c r="D3">
        <f>B3+C3</f>
        <v>3</v>
      </c>
      <c r="E3">
        <f>COUNTIFS(Entry_Demo!$H$3:$H$33,$A3,Entry_Demo!$P$3:$P$33,"yes")</f>
        <v>2</v>
      </c>
      <c r="F3">
        <f>IFERROR(AVERAGEIFS(Entry_Demo!$S$3:$S$33,Entry_Demo!$H$3:$H$33,$A3,Entry_Demo!$S$3:$S$33,"&gt;0"),"n/a")</f>
        <v>3.5</v>
      </c>
    </row>
    <row r="4" spans="1:6" x14ac:dyDescent="0.3">
      <c r="A4" t="s">
        <v>60</v>
      </c>
      <c r="B4">
        <f>COUNTIFS(Entry_Demo!$H$3:$H$33,$A4,Entry_Demo!$E$3:$E$33,"ROUND_1")</f>
        <v>1</v>
      </c>
      <c r="C4">
        <f>COUNTIFS(Entry_Demo!$H$3:$H$33,$A4,Entry_Demo!$E$3:$E$33,"ROUND_2")</f>
        <v>1</v>
      </c>
      <c r="D4">
        <f>B4+C4</f>
        <v>2</v>
      </c>
      <c r="E4">
        <f>COUNTIFS(Entry_Demo!$H$3:$H$33,$A4,Entry_Demo!$P$3:$P$33,"yes")</f>
        <v>2</v>
      </c>
      <c r="F4">
        <f>IFERROR(AVERAGEIFS(Entry_Demo!$S$3:$S$33,Entry_Demo!$H$3:$H$33,$A4,Entry_Demo!$S$3:$S$33,"&gt;0"),"n/a")</f>
        <v>3.5</v>
      </c>
    </row>
    <row r="5" spans="1:6" x14ac:dyDescent="0.3">
      <c r="A5" t="s">
        <v>70</v>
      </c>
      <c r="B5">
        <f>COUNTIFS(Entry_Demo!$H$3:$H$33,$A5,Entry_Demo!$E$3:$E$33,"ROUND_1")</f>
        <v>2</v>
      </c>
      <c r="C5">
        <f>COUNTIFS(Entry_Demo!$H$3:$H$33,$A5,Entry_Demo!$E$3:$E$33,"ROUND_2")</f>
        <v>0</v>
      </c>
      <c r="D5">
        <f>B5+C5</f>
        <v>2</v>
      </c>
      <c r="E5">
        <f>COUNTIFS(Entry_Demo!$H$3:$H$33,$A5,Entry_Demo!$P$3:$P$33,"yes")</f>
        <v>2</v>
      </c>
      <c r="F5">
        <f>IFERROR(AVERAGEIFS(Entry_Demo!$S$3:$S$33,Entry_Demo!$H$3:$H$33,$A5,Entry_Demo!$S$3:$S$33,"&gt;0"),"n/a")</f>
        <v>5</v>
      </c>
    </row>
    <row r="6" spans="1:6" x14ac:dyDescent="0.3">
      <c r="A6" t="s">
        <v>78</v>
      </c>
      <c r="B6">
        <f>COUNTIFS(Entry_Demo!$H$3:$H$33,$A6,Entry_Demo!$E$3:$E$33,"ROUND_1")</f>
        <v>1</v>
      </c>
      <c r="C6">
        <f>COUNTIFS(Entry_Demo!$H$3:$H$33,$A6,Entry_Demo!$E$3:$E$33,"ROUND_2")</f>
        <v>2</v>
      </c>
      <c r="D6">
        <f>B6+C6</f>
        <v>3</v>
      </c>
      <c r="E6">
        <f>COUNTIFS(Entry_Demo!$H$3:$H$33,$A6,Entry_Demo!$P$3:$P$33,"yes")</f>
        <v>1</v>
      </c>
      <c r="F6">
        <f>IFERROR(AVERAGEIFS(Entry_Demo!$S$3:$S$33,Entry_Demo!$H$3:$H$33,$A6,Entry_Demo!$S$3:$S$33,"&gt;0"),"n/a")</f>
        <v>4</v>
      </c>
    </row>
    <row r="7" spans="1:6" x14ac:dyDescent="0.3">
      <c r="A7" s="8" t="s">
        <v>185</v>
      </c>
      <c r="B7" s="8">
        <f>SUM(B3:B6)</f>
        <v>6</v>
      </c>
      <c r="C7" s="8">
        <f>SUM(C3:C6)</f>
        <v>4</v>
      </c>
      <c r="D7" s="8">
        <f>SUM(D3:D6)</f>
        <v>10</v>
      </c>
      <c r="E7" s="8">
        <f>SUM(E3:E6)</f>
        <v>7</v>
      </c>
    </row>
  </sheetData>
  <mergeCells count="1">
    <mergeCell ref="A1:F1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2B929-74B6-4D65-ABFD-14FD555850E9}">
  <dimension ref="A1:B10"/>
  <sheetViews>
    <sheetView tabSelected="1" workbookViewId="0"/>
  </sheetViews>
  <sheetFormatPr defaultRowHeight="14.4" x14ac:dyDescent="0.3"/>
  <cols>
    <col min="1" max="1" width="45.109375" bestFit="1" customWidth="1"/>
    <col min="2" max="2" width="11.5546875" bestFit="1" customWidth="1"/>
  </cols>
  <sheetData>
    <row r="1" spans="1:2" x14ac:dyDescent="0.3">
      <c r="A1" t="s">
        <v>1030</v>
      </c>
    </row>
    <row r="2" spans="1:2" x14ac:dyDescent="0.3">
      <c r="A2" t="s">
        <v>1031</v>
      </c>
      <c r="B2" t="s">
        <v>1032</v>
      </c>
    </row>
    <row r="3" spans="1:2" x14ac:dyDescent="0.3">
      <c r="A3" t="s">
        <v>104</v>
      </c>
      <c r="B3">
        <v>1</v>
      </c>
    </row>
    <row r="4" spans="1:2" x14ac:dyDescent="0.3">
      <c r="A4" t="s">
        <v>108</v>
      </c>
      <c r="B4">
        <v>2</v>
      </c>
    </row>
    <row r="5" spans="1:2" x14ac:dyDescent="0.3">
      <c r="A5" t="s">
        <v>112</v>
      </c>
      <c r="B5">
        <v>1</v>
      </c>
    </row>
    <row r="6" spans="1:2" x14ac:dyDescent="0.3">
      <c r="A6" t="s">
        <v>115</v>
      </c>
      <c r="B6">
        <v>1</v>
      </c>
    </row>
    <row r="7" spans="1:2" x14ac:dyDescent="0.3">
      <c r="A7" t="s">
        <v>118</v>
      </c>
      <c r="B7">
        <v>1</v>
      </c>
    </row>
    <row r="8" spans="1:2" x14ac:dyDescent="0.3">
      <c r="A8" t="s">
        <v>121</v>
      </c>
      <c r="B8">
        <v>2</v>
      </c>
    </row>
    <row r="9" spans="1:2" x14ac:dyDescent="0.3">
      <c r="A9" t="s">
        <v>124</v>
      </c>
      <c r="B9">
        <v>1</v>
      </c>
    </row>
    <row r="10" spans="1:2" x14ac:dyDescent="0.3">
      <c r="A10" t="s">
        <v>1033</v>
      </c>
      <c r="B10">
        <v>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A5D39AC-87B1-4CB0-8F66-0795D0A8F11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22</vt:i4>
      </vt:variant>
    </vt:vector>
  </HeadingPairs>
  <TitlesOfParts>
    <vt:vector size="32" baseType="lpstr">
      <vt:lpstr>Pivot_Satisfaction</vt:lpstr>
      <vt:lpstr>Pivot_Region_Round</vt:lpstr>
      <vt:lpstr>SurveyData</vt:lpstr>
      <vt:lpstr>Start_Here</vt:lpstr>
      <vt:lpstr>Config</vt:lpstr>
      <vt:lpstr>Lookups</vt:lpstr>
      <vt:lpstr>QC_Rules</vt:lpstr>
      <vt:lpstr>Entry_Demo</vt:lpstr>
      <vt:lpstr>MonitoringSummary</vt:lpstr>
      <vt:lpstr>QC_Export</vt:lpstr>
      <vt:lpstr>CompletionMax</vt:lpstr>
      <vt:lpstr>CompletionMin</vt:lpstr>
      <vt:lpstr>ExpectedRowCount</vt:lpstr>
      <vt:lpstr>HouseholdMax</vt:lpstr>
      <vt:lpstr>HouseholdMin</vt:lpstr>
      <vt:lpstr>RawDataPath</vt:lpstr>
      <vt:lpstr>ReferenceDate</vt:lpstr>
      <vt:lpstr>ScoreMax</vt:lpstr>
      <vt:lpstr>ScoreMin</vt:lpstr>
      <vt:lpstr>SiteList</vt:lpstr>
      <vt:lpstr>SiteRegionList</vt:lpstr>
      <vt:lpstr>SurveyEnd</vt:lpstr>
      <vt:lpstr>SurveyStart</vt:lpstr>
      <vt:lpstr>ValidAgeGroups</vt:lpstr>
      <vt:lpstr>ValidChannels</vt:lpstr>
      <vt:lpstr>ValidEnumerators</vt:lpstr>
      <vt:lpstr>ValidGenders</vt:lpstr>
      <vt:lpstr>ValidRegions</vt:lpstr>
      <vt:lpstr>ValidRounds</vt:lpstr>
      <vt:lpstr>ValidSites</vt:lpstr>
      <vt:lpstr>ValidTopics</vt:lpstr>
      <vt:lpstr>ValidYesNo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2025-01-01T00:00:00Z</dcterms:created>
  <dcterms:modified xsi:type="dcterms:W3CDTF">2026-07-10T22:11:54Z</dcterms:modified>
</cp:coreProperties>
</file>